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3.xml" ContentType="application/vnd.ms-excel.slicer+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e6d104a1999bd473/Documents/"/>
    </mc:Choice>
  </mc:AlternateContent>
  <xr:revisionPtr revIDLastSave="0" documentId="8_{4225492B-9802-4118-8539-3F41FC50C659}" xr6:coauthVersionLast="47" xr6:coauthVersionMax="47" xr10:uidLastSave="{00000000-0000-0000-0000-000000000000}"/>
  <bookViews>
    <workbookView xWindow="-108" yWindow="-108" windowWidth="23256" windowHeight="13896" firstSheet="2" activeTab="6" xr2:uid="{67DEF6F4-925C-4A93-8C6D-0C7C44DA849E}"/>
  </bookViews>
  <sheets>
    <sheet name="MATCHES WON BASEDON TOSS" sheetId="3" r:id="rId1"/>
    <sheet name="toss decision" sheetId="4" r:id="rId2"/>
    <sheet name="TOP 10 VENUES" sheetId="5" r:id="rId3"/>
    <sheet name="MOM" sheetId="6" r:id="rId4"/>
    <sheet name="KPI" sheetId="10" r:id="rId5"/>
    <sheet name="DASHBOARD" sheetId="11" r:id="rId6"/>
    <sheet name="ipl dataset project" sheetId="1" r:id="rId7"/>
    <sheet name="titlewinner" sheetId="8" r:id="rId8"/>
    <sheet name="winners " sheetId="2" r:id="rId9"/>
  </sheets>
  <definedNames>
    <definedName name="_xlchart.v1.0" hidden="1">titlewinner!$D$4:$D$11</definedName>
    <definedName name="_xlchart.v1.1" hidden="1">titlewinner!$E$3</definedName>
    <definedName name="_xlchart.v1.2" hidden="1">titlewinner!$E$4:$E$11</definedName>
    <definedName name="_xlchart.v1.3" hidden="1">titlewinner!$D$4:$D$11</definedName>
    <definedName name="_xlchart.v1.4" hidden="1">titlewinner!$E$3</definedName>
    <definedName name="_xlchart.v1.5" hidden="1">titlewinner!$E$4:$E$11</definedName>
    <definedName name="Slicer_season">#N/A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0" l="1"/>
  <c r="F3" i="10" s="1"/>
  <c r="D5" i="8"/>
  <c r="D6" i="8"/>
  <c r="D7" i="8"/>
  <c r="D8" i="8"/>
  <c r="D9" i="8"/>
  <c r="D10" i="8"/>
  <c r="D11" i="8"/>
  <c r="D4" i="8"/>
  <c r="D5" i="6"/>
  <c r="D6" i="6"/>
  <c r="D7" i="6"/>
  <c r="D8" i="6"/>
  <c r="D9" i="6"/>
  <c r="D10" i="6"/>
  <c r="D11" i="6"/>
  <c r="D12" i="6"/>
  <c r="D13" i="6"/>
  <c r="D4" i="6"/>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C12" i="1"/>
  <c r="C14" i="1"/>
  <c r="C32" i="1"/>
  <c r="C34" i="1"/>
  <c r="C42" i="1"/>
  <c r="C43" i="1"/>
  <c r="C74" i="1"/>
  <c r="C78" i="1"/>
  <c r="C79" i="1"/>
  <c r="C80" i="1"/>
  <c r="C81" i="1"/>
  <c r="C98" i="1"/>
  <c r="C108" i="1"/>
  <c r="C110" i="1"/>
  <c r="C111" i="1"/>
  <c r="C112" i="1"/>
  <c r="C113" i="1"/>
  <c r="C114" i="1"/>
  <c r="C126" i="1"/>
  <c r="C128" i="1"/>
  <c r="C140" i="1"/>
  <c r="C146" i="1"/>
  <c r="C154" i="1"/>
  <c r="C155" i="1"/>
  <c r="C156" i="1"/>
  <c r="C157" i="1"/>
  <c r="C170" i="1"/>
  <c r="C172" i="1"/>
  <c r="C174" i="1"/>
  <c r="C178" i="1"/>
  <c r="C188" i="1"/>
  <c r="C189" i="1"/>
  <c r="C190" i="1"/>
  <c r="C206" i="1"/>
  <c r="C210" i="1"/>
  <c r="C220" i="1"/>
  <c r="C221" i="1"/>
  <c r="C226" i="1"/>
  <c r="C236" i="1"/>
  <c r="C238" i="1"/>
  <c r="C252" i="1"/>
  <c r="C254" i="1"/>
  <c r="C255" i="1"/>
  <c r="C256" i="1"/>
  <c r="C257" i="1"/>
  <c r="C258" i="1"/>
  <c r="C268" i="1"/>
  <c r="C271" i="1"/>
  <c r="C286" i="1"/>
  <c r="C290" i="1"/>
  <c r="C316" i="1"/>
  <c r="C318" i="1"/>
  <c r="C322" i="1"/>
  <c r="C332" i="1"/>
  <c r="C334" i="1"/>
  <c r="C335" i="1"/>
  <c r="C336" i="1"/>
  <c r="C348" i="1"/>
  <c r="C350" i="1"/>
  <c r="C352" i="1"/>
  <c r="C366" i="1"/>
  <c r="C367" i="1"/>
  <c r="C368" i="1"/>
  <c r="C369" i="1"/>
  <c r="C382" i="1"/>
  <c r="C394" i="1"/>
  <c r="C402" i="1"/>
  <c r="C410" i="1"/>
  <c r="C411" i="1"/>
  <c r="C412" i="1"/>
  <c r="C413" i="1"/>
  <c r="C428" i="1"/>
  <c r="C434" i="1"/>
  <c r="C442" i="1"/>
  <c r="C443" i="1"/>
  <c r="C444" i="1"/>
  <c r="C445" i="1"/>
  <c r="C460" i="1"/>
  <c r="C462" i="1"/>
  <c r="C466" i="1"/>
  <c r="C469" i="1"/>
  <c r="C475" i="1"/>
  <c r="C476" i="1"/>
  <c r="C478" i="1"/>
  <c r="C482" i="1"/>
  <c r="C495" i="1"/>
  <c r="C498" i="1"/>
  <c r="C510" i="1"/>
  <c r="C511" i="1"/>
  <c r="C512" i="1"/>
  <c r="C538" i="1"/>
  <c r="C542" i="1"/>
  <c r="C546" i="1"/>
  <c r="C554" i="1"/>
  <c r="C555" i="1"/>
  <c r="C562" i="1"/>
  <c r="C572" i="1"/>
  <c r="C574" i="1"/>
  <c r="C578" i="1"/>
  <c r="C586" i="1"/>
  <c r="C587" i="1"/>
  <c r="C588" i="1"/>
  <c r="C589" i="1"/>
  <c r="C607" i="1"/>
  <c r="C610" i="1"/>
  <c r="C620" i="1"/>
  <c r="C621" i="1"/>
  <c r="C622" i="1"/>
  <c r="C623" i="1"/>
  <c r="C639" i="1"/>
  <c r="C666" i="1"/>
  <c r="C668" i="1"/>
  <c r="C669" i="1"/>
  <c r="C670" i="1"/>
  <c r="C702" i="1"/>
  <c r="C703" i="1"/>
  <c r="C704" i="1"/>
  <c r="C705" i="1"/>
  <c r="C722" i="1"/>
  <c r="C734" i="1"/>
  <c r="C735" i="1"/>
  <c r="C736" i="1"/>
  <c r="C737" i="1"/>
  <c r="C748" i="1"/>
  <c r="C750" i="1"/>
  <c r="C768" i="1"/>
  <c r="C770" i="1"/>
  <c r="C778" i="1"/>
  <c r="C779" i="1"/>
  <c r="C785" i="1"/>
  <c r="C796" i="1"/>
  <c r="C798" i="1"/>
  <c r="C812" i="1"/>
  <c r="C813" i="1"/>
  <c r="C814" i="1"/>
  <c r="C815" i="1"/>
  <c r="C844" i="1"/>
  <c r="C846" i="1"/>
  <c r="C847" i="1"/>
  <c r="C848" i="1"/>
  <c r="C866" i="1"/>
  <c r="C878" i="1"/>
  <c r="C879" i="1"/>
  <c r="C880" i="1"/>
  <c r="C881" i="1"/>
  <c r="C882" i="1"/>
  <c r="C894" i="1"/>
  <c r="C914" i="1"/>
  <c r="C922" i="1"/>
  <c r="C923" i="1"/>
  <c r="C924" i="1"/>
  <c r="C925" i="1"/>
  <c r="C940" i="1"/>
  <c r="C942" i="1"/>
  <c r="C956" i="1"/>
  <c r="C957" i="1"/>
  <c r="C958" i="1"/>
  <c r="C962" i="1"/>
  <c r="C975" i="1"/>
  <c r="C978" i="1"/>
  <c r="C987" i="1"/>
  <c r="C988" i="1"/>
  <c r="C989" i="1"/>
  <c r="C992" i="1"/>
  <c r="C1004" i="1"/>
  <c r="C1008" i="1"/>
  <c r="C1022" i="1"/>
  <c r="C1023" i="1"/>
  <c r="C1024" i="1"/>
  <c r="C1025" i="1"/>
  <c r="C1054" i="1"/>
  <c r="C1058" i="1"/>
  <c r="C1066" i="1"/>
  <c r="C1067" i="1"/>
  <c r="C1068" i="1"/>
  <c r="C1071" i="1"/>
  <c r="C1087" i="1"/>
  <c r="C1100" i="1"/>
  <c r="C1101" i="1"/>
  <c r="C1102" i="1"/>
  <c r="C1106" i="1"/>
  <c r="C1116" i="1"/>
  <c r="C1120" i="1"/>
  <c r="C1132" i="1"/>
  <c r="C1134" i="1"/>
  <c r="C1135" i="1"/>
  <c r="C1136" i="1"/>
  <c r="C1150" i="1"/>
  <c r="D3" i="1"/>
  <c r="C3" i="1" s="1"/>
  <c r="D4" i="1"/>
  <c r="C4" i="1" s="1"/>
  <c r="D5" i="1"/>
  <c r="C5" i="1" s="1"/>
  <c r="D6" i="1"/>
  <c r="C6" i="1" s="1"/>
  <c r="D7" i="1"/>
  <c r="C7" i="1" s="1"/>
  <c r="D8" i="1"/>
  <c r="C8" i="1" s="1"/>
  <c r="D9" i="1"/>
  <c r="C9" i="1" s="1"/>
  <c r="D10" i="1"/>
  <c r="C10" i="1" s="1"/>
  <c r="D11" i="1"/>
  <c r="C11" i="1" s="1"/>
  <c r="D12" i="1"/>
  <c r="D13" i="1"/>
  <c r="C13" i="1" s="1"/>
  <c r="D14" i="1"/>
  <c r="D15" i="1"/>
  <c r="C15" i="1" s="1"/>
  <c r="D16" i="1"/>
  <c r="C16" i="1" s="1"/>
  <c r="D17" i="1"/>
  <c r="C17" i="1" s="1"/>
  <c r="D18" i="1"/>
  <c r="C18" i="1" s="1"/>
  <c r="D19" i="1"/>
  <c r="C19" i="1" s="1"/>
  <c r="D20" i="1"/>
  <c r="C20" i="1" s="1"/>
  <c r="D21" i="1"/>
  <c r="C21" i="1" s="1"/>
  <c r="D22" i="1"/>
  <c r="C22" i="1" s="1"/>
  <c r="D23" i="1"/>
  <c r="C23" i="1" s="1"/>
  <c r="D24" i="1"/>
  <c r="C24" i="1" s="1"/>
  <c r="D25" i="1"/>
  <c r="C25" i="1" s="1"/>
  <c r="D26" i="1"/>
  <c r="C26" i="1" s="1"/>
  <c r="D27" i="1"/>
  <c r="C27" i="1" s="1"/>
  <c r="D28" i="1"/>
  <c r="C28" i="1" s="1"/>
  <c r="D29" i="1"/>
  <c r="C29" i="1" s="1"/>
  <c r="D30" i="1"/>
  <c r="C30" i="1" s="1"/>
  <c r="D31" i="1"/>
  <c r="C31" i="1" s="1"/>
  <c r="D32" i="1"/>
  <c r="D33" i="1"/>
  <c r="C33" i="1" s="1"/>
  <c r="D34" i="1"/>
  <c r="D35" i="1"/>
  <c r="C35" i="1" s="1"/>
  <c r="D36" i="1"/>
  <c r="C36" i="1" s="1"/>
  <c r="D37" i="1"/>
  <c r="C37" i="1" s="1"/>
  <c r="D38" i="1"/>
  <c r="C38" i="1" s="1"/>
  <c r="D39" i="1"/>
  <c r="C39" i="1" s="1"/>
  <c r="D40" i="1"/>
  <c r="C40" i="1" s="1"/>
  <c r="D41" i="1"/>
  <c r="C41" i="1" s="1"/>
  <c r="D42" i="1"/>
  <c r="D43" i="1"/>
  <c r="D44" i="1"/>
  <c r="C44" i="1" s="1"/>
  <c r="D45" i="1"/>
  <c r="C45" i="1" s="1"/>
  <c r="D46" i="1"/>
  <c r="C46" i="1" s="1"/>
  <c r="D47" i="1"/>
  <c r="C47" i="1" s="1"/>
  <c r="D48" i="1"/>
  <c r="C48" i="1" s="1"/>
  <c r="D49" i="1"/>
  <c r="C49" i="1" s="1"/>
  <c r="D50" i="1"/>
  <c r="C50" i="1" s="1"/>
  <c r="D51" i="1"/>
  <c r="C51" i="1" s="1"/>
  <c r="D52" i="1"/>
  <c r="C52" i="1" s="1"/>
  <c r="D53" i="1"/>
  <c r="C53" i="1" s="1"/>
  <c r="D54" i="1"/>
  <c r="C54" i="1" s="1"/>
  <c r="D55" i="1"/>
  <c r="C55" i="1" s="1"/>
  <c r="D56" i="1"/>
  <c r="C56" i="1" s="1"/>
  <c r="D57" i="1"/>
  <c r="C57" i="1" s="1"/>
  <c r="D58" i="1"/>
  <c r="C58" i="1" s="1"/>
  <c r="D59" i="1"/>
  <c r="C59" i="1" s="1"/>
  <c r="D60" i="1"/>
  <c r="C60" i="1" s="1"/>
  <c r="D61" i="1"/>
  <c r="C61" i="1" s="1"/>
  <c r="D62" i="1"/>
  <c r="C62" i="1" s="1"/>
  <c r="D63" i="1"/>
  <c r="C63" i="1" s="1"/>
  <c r="D64" i="1"/>
  <c r="C64" i="1" s="1"/>
  <c r="D65" i="1"/>
  <c r="C65" i="1" s="1"/>
  <c r="D66" i="1"/>
  <c r="C66" i="1" s="1"/>
  <c r="D67" i="1"/>
  <c r="C67" i="1" s="1"/>
  <c r="D68" i="1"/>
  <c r="C68" i="1" s="1"/>
  <c r="D69" i="1"/>
  <c r="C69" i="1" s="1"/>
  <c r="D70" i="1"/>
  <c r="C70" i="1" s="1"/>
  <c r="D71" i="1"/>
  <c r="C71" i="1" s="1"/>
  <c r="D72" i="1"/>
  <c r="C72" i="1" s="1"/>
  <c r="D73" i="1"/>
  <c r="C73" i="1" s="1"/>
  <c r="D74" i="1"/>
  <c r="D75" i="1"/>
  <c r="C75" i="1" s="1"/>
  <c r="D76" i="1"/>
  <c r="C76" i="1" s="1"/>
  <c r="D77" i="1"/>
  <c r="C77" i="1" s="1"/>
  <c r="D78" i="1"/>
  <c r="D79" i="1"/>
  <c r="D80" i="1"/>
  <c r="D81" i="1"/>
  <c r="D82" i="1"/>
  <c r="C82" i="1" s="1"/>
  <c r="D83" i="1"/>
  <c r="C83" i="1" s="1"/>
  <c r="D84" i="1"/>
  <c r="C84" i="1" s="1"/>
  <c r="D85" i="1"/>
  <c r="C85" i="1" s="1"/>
  <c r="D86" i="1"/>
  <c r="C86" i="1" s="1"/>
  <c r="D87" i="1"/>
  <c r="C87" i="1" s="1"/>
  <c r="D88" i="1"/>
  <c r="C88" i="1" s="1"/>
  <c r="D89" i="1"/>
  <c r="C89" i="1" s="1"/>
  <c r="D90" i="1"/>
  <c r="C90" i="1" s="1"/>
  <c r="D91" i="1"/>
  <c r="C91" i="1" s="1"/>
  <c r="D92" i="1"/>
  <c r="C92" i="1" s="1"/>
  <c r="D93" i="1"/>
  <c r="C93" i="1" s="1"/>
  <c r="D94" i="1"/>
  <c r="C94" i="1" s="1"/>
  <c r="D95" i="1"/>
  <c r="C95" i="1" s="1"/>
  <c r="D96" i="1"/>
  <c r="C96" i="1" s="1"/>
  <c r="D97" i="1"/>
  <c r="C97" i="1" s="1"/>
  <c r="D98" i="1"/>
  <c r="D99" i="1"/>
  <c r="C99" i="1" s="1"/>
  <c r="D100" i="1"/>
  <c r="C100" i="1" s="1"/>
  <c r="D101" i="1"/>
  <c r="C101" i="1" s="1"/>
  <c r="D102" i="1"/>
  <c r="C102" i="1" s="1"/>
  <c r="D103" i="1"/>
  <c r="C103" i="1" s="1"/>
  <c r="D104" i="1"/>
  <c r="C104" i="1" s="1"/>
  <c r="D105" i="1"/>
  <c r="C105" i="1" s="1"/>
  <c r="D106" i="1"/>
  <c r="C106" i="1" s="1"/>
  <c r="D107" i="1"/>
  <c r="C107" i="1" s="1"/>
  <c r="D108" i="1"/>
  <c r="D109" i="1"/>
  <c r="C109" i="1" s="1"/>
  <c r="D110" i="1"/>
  <c r="D111" i="1"/>
  <c r="D112" i="1"/>
  <c r="D113" i="1"/>
  <c r="D114" i="1"/>
  <c r="D115" i="1"/>
  <c r="C115" i="1" s="1"/>
  <c r="D116" i="1"/>
  <c r="C116" i="1" s="1"/>
  <c r="D117" i="1"/>
  <c r="C117" i="1" s="1"/>
  <c r="D118" i="1"/>
  <c r="C118" i="1" s="1"/>
  <c r="D119" i="1"/>
  <c r="C119" i="1" s="1"/>
  <c r="D120" i="1"/>
  <c r="C120" i="1" s="1"/>
  <c r="D121" i="1"/>
  <c r="C121" i="1" s="1"/>
  <c r="D122" i="1"/>
  <c r="C122" i="1" s="1"/>
  <c r="D123" i="1"/>
  <c r="C123" i="1" s="1"/>
  <c r="D124" i="1"/>
  <c r="C124" i="1" s="1"/>
  <c r="D125" i="1"/>
  <c r="C125" i="1" s="1"/>
  <c r="D126" i="1"/>
  <c r="D127" i="1"/>
  <c r="C127" i="1" s="1"/>
  <c r="D128" i="1"/>
  <c r="D129" i="1"/>
  <c r="C129" i="1" s="1"/>
  <c r="D130" i="1"/>
  <c r="C130" i="1" s="1"/>
  <c r="D131" i="1"/>
  <c r="C131" i="1" s="1"/>
  <c r="D132" i="1"/>
  <c r="C132" i="1" s="1"/>
  <c r="D133" i="1"/>
  <c r="C133" i="1" s="1"/>
  <c r="D134" i="1"/>
  <c r="C134" i="1" s="1"/>
  <c r="D135" i="1"/>
  <c r="C135" i="1" s="1"/>
  <c r="D136" i="1"/>
  <c r="C136" i="1" s="1"/>
  <c r="D137" i="1"/>
  <c r="C137" i="1" s="1"/>
  <c r="D138" i="1"/>
  <c r="C138" i="1" s="1"/>
  <c r="D139" i="1"/>
  <c r="C139" i="1" s="1"/>
  <c r="D140" i="1"/>
  <c r="D141" i="1"/>
  <c r="C141" i="1" s="1"/>
  <c r="D142" i="1"/>
  <c r="C142" i="1" s="1"/>
  <c r="D143" i="1"/>
  <c r="C143" i="1" s="1"/>
  <c r="D144" i="1"/>
  <c r="C144" i="1" s="1"/>
  <c r="D145" i="1"/>
  <c r="C145" i="1" s="1"/>
  <c r="D146" i="1"/>
  <c r="D147" i="1"/>
  <c r="C147" i="1" s="1"/>
  <c r="D148" i="1"/>
  <c r="C148" i="1" s="1"/>
  <c r="D149" i="1"/>
  <c r="C149" i="1" s="1"/>
  <c r="D150" i="1"/>
  <c r="C150" i="1" s="1"/>
  <c r="D151" i="1"/>
  <c r="C151" i="1" s="1"/>
  <c r="D152" i="1"/>
  <c r="C152" i="1" s="1"/>
  <c r="D153" i="1"/>
  <c r="C153" i="1" s="1"/>
  <c r="D154" i="1"/>
  <c r="D155" i="1"/>
  <c r="D156" i="1"/>
  <c r="D157" i="1"/>
  <c r="D158" i="1"/>
  <c r="C158" i="1" s="1"/>
  <c r="D159" i="1"/>
  <c r="C159" i="1" s="1"/>
  <c r="D160" i="1"/>
  <c r="C160" i="1" s="1"/>
  <c r="D161" i="1"/>
  <c r="C161" i="1" s="1"/>
  <c r="D162" i="1"/>
  <c r="C162" i="1" s="1"/>
  <c r="D163" i="1"/>
  <c r="C163" i="1" s="1"/>
  <c r="D164" i="1"/>
  <c r="C164" i="1" s="1"/>
  <c r="D165" i="1"/>
  <c r="C165" i="1" s="1"/>
  <c r="D166" i="1"/>
  <c r="C166" i="1" s="1"/>
  <c r="D167" i="1"/>
  <c r="C167" i="1" s="1"/>
  <c r="D168" i="1"/>
  <c r="C168" i="1" s="1"/>
  <c r="D169" i="1"/>
  <c r="C169" i="1" s="1"/>
  <c r="D170" i="1"/>
  <c r="D171" i="1"/>
  <c r="C171" i="1" s="1"/>
  <c r="D172" i="1"/>
  <c r="D173" i="1"/>
  <c r="C173" i="1" s="1"/>
  <c r="D174" i="1"/>
  <c r="D175" i="1"/>
  <c r="C175" i="1" s="1"/>
  <c r="D176" i="1"/>
  <c r="C176" i="1" s="1"/>
  <c r="D177" i="1"/>
  <c r="C177" i="1" s="1"/>
  <c r="D178" i="1"/>
  <c r="D179" i="1"/>
  <c r="C179" i="1" s="1"/>
  <c r="D180" i="1"/>
  <c r="C180" i="1" s="1"/>
  <c r="D181" i="1"/>
  <c r="C181" i="1" s="1"/>
  <c r="D182" i="1"/>
  <c r="C182" i="1" s="1"/>
  <c r="D183" i="1"/>
  <c r="C183" i="1" s="1"/>
  <c r="D184" i="1"/>
  <c r="C184" i="1" s="1"/>
  <c r="D185" i="1"/>
  <c r="C185" i="1" s="1"/>
  <c r="D186" i="1"/>
  <c r="C186" i="1" s="1"/>
  <c r="D187" i="1"/>
  <c r="C187" i="1" s="1"/>
  <c r="D188" i="1"/>
  <c r="D189" i="1"/>
  <c r="D190" i="1"/>
  <c r="D191" i="1"/>
  <c r="C191" i="1" s="1"/>
  <c r="D192" i="1"/>
  <c r="C192" i="1" s="1"/>
  <c r="D193" i="1"/>
  <c r="C193" i="1" s="1"/>
  <c r="D194" i="1"/>
  <c r="C194" i="1" s="1"/>
  <c r="D195" i="1"/>
  <c r="C195" i="1" s="1"/>
  <c r="D196" i="1"/>
  <c r="C196" i="1" s="1"/>
  <c r="D197" i="1"/>
  <c r="C197" i="1" s="1"/>
  <c r="D198" i="1"/>
  <c r="C198" i="1" s="1"/>
  <c r="D199" i="1"/>
  <c r="C199" i="1" s="1"/>
  <c r="D200" i="1"/>
  <c r="C200" i="1" s="1"/>
  <c r="D201" i="1"/>
  <c r="C201" i="1" s="1"/>
  <c r="D202" i="1"/>
  <c r="C202" i="1" s="1"/>
  <c r="D203" i="1"/>
  <c r="C203" i="1" s="1"/>
  <c r="D204" i="1"/>
  <c r="C204" i="1" s="1"/>
  <c r="D205" i="1"/>
  <c r="C205" i="1" s="1"/>
  <c r="D206" i="1"/>
  <c r="D207" i="1"/>
  <c r="C207" i="1" s="1"/>
  <c r="D208" i="1"/>
  <c r="C208" i="1" s="1"/>
  <c r="D209" i="1"/>
  <c r="C209" i="1" s="1"/>
  <c r="D210" i="1"/>
  <c r="D211" i="1"/>
  <c r="C211" i="1" s="1"/>
  <c r="D212" i="1"/>
  <c r="C212" i="1" s="1"/>
  <c r="D213" i="1"/>
  <c r="C213" i="1" s="1"/>
  <c r="D214" i="1"/>
  <c r="C214" i="1" s="1"/>
  <c r="D215" i="1"/>
  <c r="C215" i="1" s="1"/>
  <c r="D216" i="1"/>
  <c r="C216" i="1" s="1"/>
  <c r="D217" i="1"/>
  <c r="C217" i="1" s="1"/>
  <c r="D218" i="1"/>
  <c r="C218" i="1" s="1"/>
  <c r="D219" i="1"/>
  <c r="C219" i="1" s="1"/>
  <c r="D220" i="1"/>
  <c r="D221" i="1"/>
  <c r="D222" i="1"/>
  <c r="C222" i="1" s="1"/>
  <c r="D223" i="1"/>
  <c r="C223" i="1" s="1"/>
  <c r="D224" i="1"/>
  <c r="C224" i="1" s="1"/>
  <c r="D225" i="1"/>
  <c r="C225" i="1" s="1"/>
  <c r="D226" i="1"/>
  <c r="D227" i="1"/>
  <c r="C227" i="1" s="1"/>
  <c r="D228" i="1"/>
  <c r="C228" i="1" s="1"/>
  <c r="D229" i="1"/>
  <c r="C229" i="1" s="1"/>
  <c r="D230" i="1"/>
  <c r="C230" i="1" s="1"/>
  <c r="D231" i="1"/>
  <c r="C231" i="1" s="1"/>
  <c r="D232" i="1"/>
  <c r="C232" i="1" s="1"/>
  <c r="D233" i="1"/>
  <c r="C233" i="1" s="1"/>
  <c r="D234" i="1"/>
  <c r="C234" i="1" s="1"/>
  <c r="D235" i="1"/>
  <c r="C235" i="1" s="1"/>
  <c r="D236" i="1"/>
  <c r="D237" i="1"/>
  <c r="C237" i="1" s="1"/>
  <c r="D238" i="1"/>
  <c r="D239" i="1"/>
  <c r="C239" i="1" s="1"/>
  <c r="D240" i="1"/>
  <c r="C240" i="1" s="1"/>
  <c r="D241" i="1"/>
  <c r="C241" i="1" s="1"/>
  <c r="D242" i="1"/>
  <c r="C242" i="1" s="1"/>
  <c r="D243" i="1"/>
  <c r="C243" i="1" s="1"/>
  <c r="D244" i="1"/>
  <c r="C244" i="1" s="1"/>
  <c r="D245" i="1"/>
  <c r="C245" i="1" s="1"/>
  <c r="D246" i="1"/>
  <c r="C246" i="1" s="1"/>
  <c r="D247" i="1"/>
  <c r="C247" i="1" s="1"/>
  <c r="D248" i="1"/>
  <c r="C248" i="1" s="1"/>
  <c r="D249" i="1"/>
  <c r="C249" i="1" s="1"/>
  <c r="D250" i="1"/>
  <c r="C250" i="1" s="1"/>
  <c r="D251" i="1"/>
  <c r="C251" i="1" s="1"/>
  <c r="D252" i="1"/>
  <c r="D253" i="1"/>
  <c r="C253" i="1" s="1"/>
  <c r="D254" i="1"/>
  <c r="D255" i="1"/>
  <c r="D256" i="1"/>
  <c r="D257" i="1"/>
  <c r="D258" i="1"/>
  <c r="D259" i="1"/>
  <c r="C259" i="1" s="1"/>
  <c r="D260" i="1"/>
  <c r="C260" i="1" s="1"/>
  <c r="D261" i="1"/>
  <c r="C261" i="1" s="1"/>
  <c r="D262" i="1"/>
  <c r="C262" i="1" s="1"/>
  <c r="D263" i="1"/>
  <c r="C263" i="1" s="1"/>
  <c r="D264" i="1"/>
  <c r="C264" i="1" s="1"/>
  <c r="D265" i="1"/>
  <c r="C265" i="1" s="1"/>
  <c r="D266" i="1"/>
  <c r="C266" i="1" s="1"/>
  <c r="D267" i="1"/>
  <c r="C267" i="1" s="1"/>
  <c r="D268" i="1"/>
  <c r="D269" i="1"/>
  <c r="C269" i="1" s="1"/>
  <c r="D270" i="1"/>
  <c r="C270" i="1" s="1"/>
  <c r="D271" i="1"/>
  <c r="D272" i="1"/>
  <c r="C272" i="1" s="1"/>
  <c r="D273" i="1"/>
  <c r="C273" i="1" s="1"/>
  <c r="D274" i="1"/>
  <c r="C274" i="1" s="1"/>
  <c r="D275" i="1"/>
  <c r="C275" i="1" s="1"/>
  <c r="D276" i="1"/>
  <c r="C276" i="1" s="1"/>
  <c r="D277" i="1"/>
  <c r="C277" i="1" s="1"/>
  <c r="D278" i="1"/>
  <c r="C278" i="1" s="1"/>
  <c r="D279" i="1"/>
  <c r="C279" i="1" s="1"/>
  <c r="D280" i="1"/>
  <c r="C280" i="1" s="1"/>
  <c r="D281" i="1"/>
  <c r="C281" i="1" s="1"/>
  <c r="D282" i="1"/>
  <c r="C282" i="1" s="1"/>
  <c r="D283" i="1"/>
  <c r="C283" i="1" s="1"/>
  <c r="D284" i="1"/>
  <c r="C284" i="1" s="1"/>
  <c r="D285" i="1"/>
  <c r="C285" i="1" s="1"/>
  <c r="D286" i="1"/>
  <c r="D287" i="1"/>
  <c r="C287" i="1" s="1"/>
  <c r="D288" i="1"/>
  <c r="C288" i="1" s="1"/>
  <c r="D289" i="1"/>
  <c r="C289" i="1" s="1"/>
  <c r="D290" i="1"/>
  <c r="D291" i="1"/>
  <c r="C291" i="1" s="1"/>
  <c r="D292" i="1"/>
  <c r="C292" i="1" s="1"/>
  <c r="D293" i="1"/>
  <c r="C293" i="1" s="1"/>
  <c r="D294" i="1"/>
  <c r="C294" i="1" s="1"/>
  <c r="D295" i="1"/>
  <c r="C295" i="1" s="1"/>
  <c r="D296" i="1"/>
  <c r="C296" i="1" s="1"/>
  <c r="D297" i="1"/>
  <c r="C297" i="1" s="1"/>
  <c r="D298" i="1"/>
  <c r="C298" i="1" s="1"/>
  <c r="D299" i="1"/>
  <c r="C299" i="1" s="1"/>
  <c r="D300" i="1"/>
  <c r="C300" i="1" s="1"/>
  <c r="D301" i="1"/>
  <c r="C301" i="1" s="1"/>
  <c r="D302" i="1"/>
  <c r="C302" i="1" s="1"/>
  <c r="D303" i="1"/>
  <c r="C303" i="1" s="1"/>
  <c r="D304" i="1"/>
  <c r="C304" i="1" s="1"/>
  <c r="D305" i="1"/>
  <c r="C305" i="1" s="1"/>
  <c r="D306" i="1"/>
  <c r="C306" i="1" s="1"/>
  <c r="D307" i="1"/>
  <c r="C307" i="1" s="1"/>
  <c r="D308" i="1"/>
  <c r="C308" i="1" s="1"/>
  <c r="D309" i="1"/>
  <c r="C309" i="1" s="1"/>
  <c r="D310" i="1"/>
  <c r="C310" i="1" s="1"/>
  <c r="D311" i="1"/>
  <c r="C311" i="1" s="1"/>
  <c r="D312" i="1"/>
  <c r="C312" i="1" s="1"/>
  <c r="D313" i="1"/>
  <c r="C313" i="1" s="1"/>
  <c r="D314" i="1"/>
  <c r="C314" i="1" s="1"/>
  <c r="D315" i="1"/>
  <c r="C315" i="1" s="1"/>
  <c r="D316" i="1"/>
  <c r="D317" i="1"/>
  <c r="C317" i="1" s="1"/>
  <c r="D318" i="1"/>
  <c r="D319" i="1"/>
  <c r="C319" i="1" s="1"/>
  <c r="D320" i="1"/>
  <c r="C320" i="1" s="1"/>
  <c r="D321" i="1"/>
  <c r="C321" i="1" s="1"/>
  <c r="D322" i="1"/>
  <c r="D323" i="1"/>
  <c r="C323" i="1" s="1"/>
  <c r="D324" i="1"/>
  <c r="C324" i="1" s="1"/>
  <c r="D325" i="1"/>
  <c r="C325" i="1" s="1"/>
  <c r="D326" i="1"/>
  <c r="C326" i="1" s="1"/>
  <c r="D327" i="1"/>
  <c r="C327" i="1" s="1"/>
  <c r="D328" i="1"/>
  <c r="C328" i="1" s="1"/>
  <c r="D329" i="1"/>
  <c r="C329" i="1" s="1"/>
  <c r="D330" i="1"/>
  <c r="C330" i="1" s="1"/>
  <c r="D331" i="1"/>
  <c r="C331" i="1" s="1"/>
  <c r="D332" i="1"/>
  <c r="D333" i="1"/>
  <c r="C333" i="1" s="1"/>
  <c r="D334" i="1"/>
  <c r="D335" i="1"/>
  <c r="D336" i="1"/>
  <c r="D337" i="1"/>
  <c r="C337" i="1" s="1"/>
  <c r="D338" i="1"/>
  <c r="C338" i="1" s="1"/>
  <c r="D339" i="1"/>
  <c r="C339" i="1" s="1"/>
  <c r="D340" i="1"/>
  <c r="C340" i="1" s="1"/>
  <c r="D341" i="1"/>
  <c r="C341" i="1" s="1"/>
  <c r="D342" i="1"/>
  <c r="C342" i="1" s="1"/>
  <c r="D343" i="1"/>
  <c r="C343" i="1" s="1"/>
  <c r="D344" i="1"/>
  <c r="C344" i="1" s="1"/>
  <c r="D345" i="1"/>
  <c r="C345" i="1" s="1"/>
  <c r="D346" i="1"/>
  <c r="C346" i="1" s="1"/>
  <c r="D347" i="1"/>
  <c r="C347" i="1" s="1"/>
  <c r="D348" i="1"/>
  <c r="D349" i="1"/>
  <c r="C349" i="1" s="1"/>
  <c r="D350" i="1"/>
  <c r="D351" i="1"/>
  <c r="C351" i="1" s="1"/>
  <c r="D352" i="1"/>
  <c r="D353" i="1"/>
  <c r="C353" i="1" s="1"/>
  <c r="D354" i="1"/>
  <c r="C354" i="1" s="1"/>
  <c r="D355" i="1"/>
  <c r="C355" i="1" s="1"/>
  <c r="D356" i="1"/>
  <c r="C356" i="1" s="1"/>
  <c r="D357" i="1"/>
  <c r="C357" i="1" s="1"/>
  <c r="D358" i="1"/>
  <c r="C358" i="1" s="1"/>
  <c r="D359" i="1"/>
  <c r="C359" i="1" s="1"/>
  <c r="D360" i="1"/>
  <c r="C360" i="1" s="1"/>
  <c r="D361" i="1"/>
  <c r="C361" i="1" s="1"/>
  <c r="D362" i="1"/>
  <c r="C362" i="1" s="1"/>
  <c r="D363" i="1"/>
  <c r="C363" i="1" s="1"/>
  <c r="D364" i="1"/>
  <c r="C364" i="1" s="1"/>
  <c r="D365" i="1"/>
  <c r="C365" i="1" s="1"/>
  <c r="D366" i="1"/>
  <c r="D367" i="1"/>
  <c r="D368" i="1"/>
  <c r="D369" i="1"/>
  <c r="D370" i="1"/>
  <c r="C370" i="1" s="1"/>
  <c r="D371" i="1"/>
  <c r="C371" i="1" s="1"/>
  <c r="D372" i="1"/>
  <c r="C372" i="1" s="1"/>
  <c r="D373" i="1"/>
  <c r="C373" i="1" s="1"/>
  <c r="D374" i="1"/>
  <c r="C374" i="1" s="1"/>
  <c r="D375" i="1"/>
  <c r="C375" i="1" s="1"/>
  <c r="D376" i="1"/>
  <c r="C376" i="1" s="1"/>
  <c r="D377" i="1"/>
  <c r="C377" i="1" s="1"/>
  <c r="D378" i="1"/>
  <c r="C378" i="1" s="1"/>
  <c r="D379" i="1"/>
  <c r="C379" i="1" s="1"/>
  <c r="D380" i="1"/>
  <c r="C380" i="1" s="1"/>
  <c r="D381" i="1"/>
  <c r="C381" i="1" s="1"/>
  <c r="D382" i="1"/>
  <c r="D383" i="1"/>
  <c r="C383" i="1" s="1"/>
  <c r="D384" i="1"/>
  <c r="C384" i="1" s="1"/>
  <c r="D385" i="1"/>
  <c r="C385" i="1" s="1"/>
  <c r="D386" i="1"/>
  <c r="C386" i="1" s="1"/>
  <c r="D387" i="1"/>
  <c r="C387" i="1" s="1"/>
  <c r="D388" i="1"/>
  <c r="C388" i="1" s="1"/>
  <c r="D389" i="1"/>
  <c r="C389" i="1" s="1"/>
  <c r="D390" i="1"/>
  <c r="C390" i="1" s="1"/>
  <c r="D391" i="1"/>
  <c r="C391" i="1" s="1"/>
  <c r="D392" i="1"/>
  <c r="C392" i="1" s="1"/>
  <c r="D393" i="1"/>
  <c r="C393" i="1" s="1"/>
  <c r="D394" i="1"/>
  <c r="D395" i="1"/>
  <c r="C395" i="1" s="1"/>
  <c r="D396" i="1"/>
  <c r="C396" i="1" s="1"/>
  <c r="D397" i="1"/>
  <c r="C397" i="1" s="1"/>
  <c r="D398" i="1"/>
  <c r="C398" i="1" s="1"/>
  <c r="D399" i="1"/>
  <c r="C399" i="1" s="1"/>
  <c r="D400" i="1"/>
  <c r="C400" i="1" s="1"/>
  <c r="D401" i="1"/>
  <c r="C401" i="1" s="1"/>
  <c r="D402" i="1"/>
  <c r="D403" i="1"/>
  <c r="C403" i="1" s="1"/>
  <c r="D404" i="1"/>
  <c r="C404" i="1" s="1"/>
  <c r="D405" i="1"/>
  <c r="C405" i="1" s="1"/>
  <c r="D406" i="1"/>
  <c r="C406" i="1" s="1"/>
  <c r="D407" i="1"/>
  <c r="C407" i="1" s="1"/>
  <c r="D408" i="1"/>
  <c r="C408" i="1" s="1"/>
  <c r="D409" i="1"/>
  <c r="C409" i="1" s="1"/>
  <c r="D410" i="1"/>
  <c r="D411" i="1"/>
  <c r="D412" i="1"/>
  <c r="D413" i="1"/>
  <c r="D414" i="1"/>
  <c r="C414" i="1" s="1"/>
  <c r="D415" i="1"/>
  <c r="C415" i="1" s="1"/>
  <c r="D416" i="1"/>
  <c r="C416" i="1" s="1"/>
  <c r="D417" i="1"/>
  <c r="C417" i="1" s="1"/>
  <c r="D418" i="1"/>
  <c r="C418" i="1" s="1"/>
  <c r="D419" i="1"/>
  <c r="C419" i="1" s="1"/>
  <c r="D420" i="1"/>
  <c r="C420" i="1" s="1"/>
  <c r="D421" i="1"/>
  <c r="C421" i="1" s="1"/>
  <c r="D422" i="1"/>
  <c r="C422" i="1" s="1"/>
  <c r="D423" i="1"/>
  <c r="C423" i="1" s="1"/>
  <c r="D424" i="1"/>
  <c r="C424" i="1" s="1"/>
  <c r="D425" i="1"/>
  <c r="C425" i="1" s="1"/>
  <c r="D426" i="1"/>
  <c r="C426" i="1" s="1"/>
  <c r="D427" i="1"/>
  <c r="C427" i="1" s="1"/>
  <c r="D428" i="1"/>
  <c r="D429" i="1"/>
  <c r="C429" i="1" s="1"/>
  <c r="D430" i="1"/>
  <c r="C430" i="1" s="1"/>
  <c r="D431" i="1"/>
  <c r="C431" i="1" s="1"/>
  <c r="D432" i="1"/>
  <c r="C432" i="1" s="1"/>
  <c r="D433" i="1"/>
  <c r="C433" i="1" s="1"/>
  <c r="D434" i="1"/>
  <c r="D435" i="1"/>
  <c r="C435" i="1" s="1"/>
  <c r="D436" i="1"/>
  <c r="C436" i="1" s="1"/>
  <c r="D437" i="1"/>
  <c r="C437" i="1" s="1"/>
  <c r="D438" i="1"/>
  <c r="C438" i="1" s="1"/>
  <c r="D439" i="1"/>
  <c r="C439" i="1" s="1"/>
  <c r="D440" i="1"/>
  <c r="C440" i="1" s="1"/>
  <c r="D441" i="1"/>
  <c r="C441" i="1" s="1"/>
  <c r="D442" i="1"/>
  <c r="D443" i="1"/>
  <c r="D444" i="1"/>
  <c r="D445" i="1"/>
  <c r="D446" i="1"/>
  <c r="C446" i="1" s="1"/>
  <c r="D447" i="1"/>
  <c r="C447" i="1" s="1"/>
  <c r="D448" i="1"/>
  <c r="C448" i="1" s="1"/>
  <c r="D449" i="1"/>
  <c r="C449" i="1" s="1"/>
  <c r="D450" i="1"/>
  <c r="C450" i="1" s="1"/>
  <c r="D451" i="1"/>
  <c r="C451" i="1" s="1"/>
  <c r="D452" i="1"/>
  <c r="C452" i="1" s="1"/>
  <c r="D453" i="1"/>
  <c r="C453" i="1" s="1"/>
  <c r="D454" i="1"/>
  <c r="C454" i="1" s="1"/>
  <c r="D455" i="1"/>
  <c r="C455" i="1" s="1"/>
  <c r="D456" i="1"/>
  <c r="C456" i="1" s="1"/>
  <c r="D457" i="1"/>
  <c r="C457" i="1" s="1"/>
  <c r="D458" i="1"/>
  <c r="C458" i="1" s="1"/>
  <c r="D459" i="1"/>
  <c r="C459" i="1" s="1"/>
  <c r="D460" i="1"/>
  <c r="D461" i="1"/>
  <c r="C461" i="1" s="1"/>
  <c r="D462" i="1"/>
  <c r="D463" i="1"/>
  <c r="C463" i="1" s="1"/>
  <c r="D464" i="1"/>
  <c r="C464" i="1" s="1"/>
  <c r="D465" i="1"/>
  <c r="C465" i="1" s="1"/>
  <c r="D466" i="1"/>
  <c r="D467" i="1"/>
  <c r="C467" i="1" s="1"/>
  <c r="D468" i="1"/>
  <c r="C468" i="1" s="1"/>
  <c r="D469" i="1"/>
  <c r="D470" i="1"/>
  <c r="C470" i="1" s="1"/>
  <c r="D471" i="1"/>
  <c r="C471" i="1" s="1"/>
  <c r="D472" i="1"/>
  <c r="C472" i="1" s="1"/>
  <c r="D473" i="1"/>
  <c r="C473" i="1" s="1"/>
  <c r="D474" i="1"/>
  <c r="C474" i="1" s="1"/>
  <c r="D475" i="1"/>
  <c r="D476" i="1"/>
  <c r="D477" i="1"/>
  <c r="C477" i="1" s="1"/>
  <c r="D478" i="1"/>
  <c r="D479" i="1"/>
  <c r="C479" i="1" s="1"/>
  <c r="D480" i="1"/>
  <c r="C480" i="1" s="1"/>
  <c r="D481" i="1"/>
  <c r="C481" i="1" s="1"/>
  <c r="D482" i="1"/>
  <c r="D483" i="1"/>
  <c r="C483" i="1" s="1"/>
  <c r="D484" i="1"/>
  <c r="C484" i="1" s="1"/>
  <c r="D485" i="1"/>
  <c r="C485" i="1" s="1"/>
  <c r="D486" i="1"/>
  <c r="C486" i="1" s="1"/>
  <c r="D487" i="1"/>
  <c r="C487" i="1" s="1"/>
  <c r="D488" i="1"/>
  <c r="C488" i="1" s="1"/>
  <c r="D489" i="1"/>
  <c r="C489" i="1" s="1"/>
  <c r="D490" i="1"/>
  <c r="C490" i="1" s="1"/>
  <c r="D491" i="1"/>
  <c r="C491" i="1" s="1"/>
  <c r="D492" i="1"/>
  <c r="C492" i="1" s="1"/>
  <c r="D493" i="1"/>
  <c r="C493" i="1" s="1"/>
  <c r="D494" i="1"/>
  <c r="C494" i="1" s="1"/>
  <c r="D495" i="1"/>
  <c r="D496" i="1"/>
  <c r="C496" i="1" s="1"/>
  <c r="D497" i="1"/>
  <c r="C497" i="1" s="1"/>
  <c r="D498" i="1"/>
  <c r="D499" i="1"/>
  <c r="C499" i="1" s="1"/>
  <c r="D500" i="1"/>
  <c r="C500" i="1" s="1"/>
  <c r="D501" i="1"/>
  <c r="C501" i="1" s="1"/>
  <c r="D502" i="1"/>
  <c r="C502" i="1" s="1"/>
  <c r="D503" i="1"/>
  <c r="C503" i="1" s="1"/>
  <c r="D504" i="1"/>
  <c r="C504" i="1" s="1"/>
  <c r="D505" i="1"/>
  <c r="C505" i="1" s="1"/>
  <c r="D506" i="1"/>
  <c r="C506" i="1" s="1"/>
  <c r="D507" i="1"/>
  <c r="C507" i="1" s="1"/>
  <c r="D508" i="1"/>
  <c r="C508" i="1" s="1"/>
  <c r="D509" i="1"/>
  <c r="C509" i="1" s="1"/>
  <c r="D510" i="1"/>
  <c r="D511" i="1"/>
  <c r="D512" i="1"/>
  <c r="D513" i="1"/>
  <c r="C513" i="1" s="1"/>
  <c r="D514" i="1"/>
  <c r="C514" i="1" s="1"/>
  <c r="D515" i="1"/>
  <c r="C515" i="1" s="1"/>
  <c r="D516" i="1"/>
  <c r="C516" i="1" s="1"/>
  <c r="D517" i="1"/>
  <c r="C517" i="1" s="1"/>
  <c r="D518" i="1"/>
  <c r="C518" i="1" s="1"/>
  <c r="D519" i="1"/>
  <c r="C519" i="1" s="1"/>
  <c r="D520" i="1"/>
  <c r="C520" i="1" s="1"/>
  <c r="D521" i="1"/>
  <c r="C521" i="1" s="1"/>
  <c r="D522" i="1"/>
  <c r="C522" i="1" s="1"/>
  <c r="D523" i="1"/>
  <c r="C523" i="1" s="1"/>
  <c r="D524" i="1"/>
  <c r="C524" i="1" s="1"/>
  <c r="D525" i="1"/>
  <c r="C525" i="1" s="1"/>
  <c r="D526" i="1"/>
  <c r="C526" i="1" s="1"/>
  <c r="D527" i="1"/>
  <c r="C527" i="1" s="1"/>
  <c r="D528" i="1"/>
  <c r="C528" i="1" s="1"/>
  <c r="D529" i="1"/>
  <c r="C529" i="1" s="1"/>
  <c r="D530" i="1"/>
  <c r="C530" i="1" s="1"/>
  <c r="D531" i="1"/>
  <c r="C531" i="1" s="1"/>
  <c r="D532" i="1"/>
  <c r="C532" i="1" s="1"/>
  <c r="D533" i="1"/>
  <c r="C533" i="1" s="1"/>
  <c r="D534" i="1"/>
  <c r="C534" i="1" s="1"/>
  <c r="D535" i="1"/>
  <c r="C535" i="1" s="1"/>
  <c r="D536" i="1"/>
  <c r="C536" i="1" s="1"/>
  <c r="D537" i="1"/>
  <c r="C537" i="1" s="1"/>
  <c r="D538" i="1"/>
  <c r="D539" i="1"/>
  <c r="C539" i="1" s="1"/>
  <c r="D540" i="1"/>
  <c r="C540" i="1" s="1"/>
  <c r="D541" i="1"/>
  <c r="C541" i="1" s="1"/>
  <c r="D542" i="1"/>
  <c r="D543" i="1"/>
  <c r="C543" i="1" s="1"/>
  <c r="D544" i="1"/>
  <c r="C544" i="1" s="1"/>
  <c r="D545" i="1"/>
  <c r="C545" i="1" s="1"/>
  <c r="D546" i="1"/>
  <c r="D547" i="1"/>
  <c r="C547" i="1" s="1"/>
  <c r="D548" i="1"/>
  <c r="C548" i="1" s="1"/>
  <c r="D549" i="1"/>
  <c r="C549" i="1" s="1"/>
  <c r="D550" i="1"/>
  <c r="C550" i="1" s="1"/>
  <c r="D551" i="1"/>
  <c r="C551" i="1" s="1"/>
  <c r="D552" i="1"/>
  <c r="C552" i="1" s="1"/>
  <c r="D553" i="1"/>
  <c r="C553" i="1" s="1"/>
  <c r="D554" i="1"/>
  <c r="D555" i="1"/>
  <c r="D556" i="1"/>
  <c r="C556" i="1" s="1"/>
  <c r="D557" i="1"/>
  <c r="C557" i="1" s="1"/>
  <c r="D558" i="1"/>
  <c r="C558" i="1" s="1"/>
  <c r="D559" i="1"/>
  <c r="C559" i="1" s="1"/>
  <c r="D560" i="1"/>
  <c r="C560" i="1" s="1"/>
  <c r="D561" i="1"/>
  <c r="C561" i="1" s="1"/>
  <c r="D562" i="1"/>
  <c r="D563" i="1"/>
  <c r="C563" i="1" s="1"/>
  <c r="D564" i="1"/>
  <c r="C564" i="1" s="1"/>
  <c r="D565" i="1"/>
  <c r="C565" i="1" s="1"/>
  <c r="D566" i="1"/>
  <c r="C566" i="1" s="1"/>
  <c r="D567" i="1"/>
  <c r="C567" i="1" s="1"/>
  <c r="D568" i="1"/>
  <c r="C568" i="1" s="1"/>
  <c r="D569" i="1"/>
  <c r="C569" i="1" s="1"/>
  <c r="D570" i="1"/>
  <c r="C570" i="1" s="1"/>
  <c r="D571" i="1"/>
  <c r="C571" i="1" s="1"/>
  <c r="D572" i="1"/>
  <c r="D573" i="1"/>
  <c r="C573" i="1" s="1"/>
  <c r="D574" i="1"/>
  <c r="D575" i="1"/>
  <c r="C575" i="1" s="1"/>
  <c r="D576" i="1"/>
  <c r="C576" i="1" s="1"/>
  <c r="D577" i="1"/>
  <c r="C577" i="1" s="1"/>
  <c r="D578" i="1"/>
  <c r="D579" i="1"/>
  <c r="C579" i="1" s="1"/>
  <c r="D580" i="1"/>
  <c r="C580" i="1" s="1"/>
  <c r="D581" i="1"/>
  <c r="C581" i="1" s="1"/>
  <c r="D582" i="1"/>
  <c r="C582" i="1" s="1"/>
  <c r="D583" i="1"/>
  <c r="C583" i="1" s="1"/>
  <c r="D584" i="1"/>
  <c r="C584" i="1" s="1"/>
  <c r="D585" i="1"/>
  <c r="C585" i="1" s="1"/>
  <c r="D586" i="1"/>
  <c r="D587" i="1"/>
  <c r="D588" i="1"/>
  <c r="D589" i="1"/>
  <c r="D590" i="1"/>
  <c r="C590" i="1" s="1"/>
  <c r="D591" i="1"/>
  <c r="C591" i="1" s="1"/>
  <c r="D592" i="1"/>
  <c r="C592" i="1" s="1"/>
  <c r="D593" i="1"/>
  <c r="C593" i="1" s="1"/>
  <c r="D594" i="1"/>
  <c r="C594" i="1" s="1"/>
  <c r="D595" i="1"/>
  <c r="C595" i="1" s="1"/>
  <c r="D596" i="1"/>
  <c r="C596" i="1" s="1"/>
  <c r="D597" i="1"/>
  <c r="C597" i="1" s="1"/>
  <c r="D598" i="1"/>
  <c r="C598" i="1" s="1"/>
  <c r="D599" i="1"/>
  <c r="C599" i="1" s="1"/>
  <c r="D600" i="1"/>
  <c r="C600" i="1" s="1"/>
  <c r="D601" i="1"/>
  <c r="C601" i="1" s="1"/>
  <c r="D602" i="1"/>
  <c r="C602" i="1" s="1"/>
  <c r="D603" i="1"/>
  <c r="C603" i="1" s="1"/>
  <c r="D604" i="1"/>
  <c r="C604" i="1" s="1"/>
  <c r="D605" i="1"/>
  <c r="C605" i="1" s="1"/>
  <c r="D606" i="1"/>
  <c r="C606" i="1" s="1"/>
  <c r="D607" i="1"/>
  <c r="D608" i="1"/>
  <c r="C608" i="1" s="1"/>
  <c r="D609" i="1"/>
  <c r="C609" i="1" s="1"/>
  <c r="D610" i="1"/>
  <c r="D611" i="1"/>
  <c r="C611" i="1" s="1"/>
  <c r="D612" i="1"/>
  <c r="C612" i="1" s="1"/>
  <c r="D613" i="1"/>
  <c r="C613" i="1" s="1"/>
  <c r="D614" i="1"/>
  <c r="C614" i="1" s="1"/>
  <c r="D615" i="1"/>
  <c r="C615" i="1" s="1"/>
  <c r="D616" i="1"/>
  <c r="C616" i="1" s="1"/>
  <c r="D617" i="1"/>
  <c r="C617" i="1" s="1"/>
  <c r="D618" i="1"/>
  <c r="C618" i="1" s="1"/>
  <c r="D619" i="1"/>
  <c r="C619" i="1" s="1"/>
  <c r="D620" i="1"/>
  <c r="D621" i="1"/>
  <c r="D622" i="1"/>
  <c r="D623" i="1"/>
  <c r="D624" i="1"/>
  <c r="C624" i="1" s="1"/>
  <c r="D625" i="1"/>
  <c r="C625" i="1" s="1"/>
  <c r="D626" i="1"/>
  <c r="C626" i="1" s="1"/>
  <c r="D627" i="1"/>
  <c r="C627" i="1" s="1"/>
  <c r="D628" i="1"/>
  <c r="C628" i="1" s="1"/>
  <c r="D629" i="1"/>
  <c r="C629" i="1" s="1"/>
  <c r="D630" i="1"/>
  <c r="C630" i="1" s="1"/>
  <c r="D631" i="1"/>
  <c r="C631" i="1" s="1"/>
  <c r="D632" i="1"/>
  <c r="C632" i="1" s="1"/>
  <c r="D633" i="1"/>
  <c r="C633" i="1" s="1"/>
  <c r="D634" i="1"/>
  <c r="C634" i="1" s="1"/>
  <c r="D635" i="1"/>
  <c r="C635" i="1" s="1"/>
  <c r="D636" i="1"/>
  <c r="C636" i="1" s="1"/>
  <c r="D637" i="1"/>
  <c r="C637" i="1" s="1"/>
  <c r="D638" i="1"/>
  <c r="C638" i="1" s="1"/>
  <c r="D639" i="1"/>
  <c r="D640" i="1"/>
  <c r="C640" i="1" s="1"/>
  <c r="D641" i="1"/>
  <c r="C641" i="1" s="1"/>
  <c r="D642" i="1"/>
  <c r="C642" i="1" s="1"/>
  <c r="D643" i="1"/>
  <c r="C643" i="1" s="1"/>
  <c r="D644" i="1"/>
  <c r="C644" i="1" s="1"/>
  <c r="D645" i="1"/>
  <c r="C645" i="1" s="1"/>
  <c r="D646" i="1"/>
  <c r="C646" i="1" s="1"/>
  <c r="D647" i="1"/>
  <c r="C647" i="1" s="1"/>
  <c r="D648" i="1"/>
  <c r="C648" i="1" s="1"/>
  <c r="D649" i="1"/>
  <c r="C649" i="1" s="1"/>
  <c r="D650" i="1"/>
  <c r="C650" i="1" s="1"/>
  <c r="D651" i="1"/>
  <c r="C651" i="1" s="1"/>
  <c r="D652" i="1"/>
  <c r="C652" i="1" s="1"/>
  <c r="D653" i="1"/>
  <c r="C653" i="1" s="1"/>
  <c r="D654" i="1"/>
  <c r="C654" i="1" s="1"/>
  <c r="D655" i="1"/>
  <c r="C655" i="1" s="1"/>
  <c r="D656" i="1"/>
  <c r="C656" i="1" s="1"/>
  <c r="D657" i="1"/>
  <c r="C657" i="1" s="1"/>
  <c r="D658" i="1"/>
  <c r="C658" i="1" s="1"/>
  <c r="D659" i="1"/>
  <c r="C659" i="1" s="1"/>
  <c r="D660" i="1"/>
  <c r="C660" i="1" s="1"/>
  <c r="D661" i="1"/>
  <c r="C661" i="1" s="1"/>
  <c r="D662" i="1"/>
  <c r="C662" i="1" s="1"/>
  <c r="D663" i="1"/>
  <c r="C663" i="1" s="1"/>
  <c r="D664" i="1"/>
  <c r="C664" i="1" s="1"/>
  <c r="D665" i="1"/>
  <c r="C665" i="1" s="1"/>
  <c r="D666" i="1"/>
  <c r="D667" i="1"/>
  <c r="C667" i="1" s="1"/>
  <c r="D668" i="1"/>
  <c r="D669" i="1"/>
  <c r="D670" i="1"/>
  <c r="D671" i="1"/>
  <c r="C671" i="1" s="1"/>
  <c r="D672" i="1"/>
  <c r="C672" i="1" s="1"/>
  <c r="D673" i="1"/>
  <c r="C673" i="1" s="1"/>
  <c r="D674" i="1"/>
  <c r="C674" i="1" s="1"/>
  <c r="D675" i="1"/>
  <c r="C675" i="1" s="1"/>
  <c r="D676" i="1"/>
  <c r="C676" i="1" s="1"/>
  <c r="D677" i="1"/>
  <c r="C677" i="1" s="1"/>
  <c r="D678" i="1"/>
  <c r="C678" i="1" s="1"/>
  <c r="D679" i="1"/>
  <c r="C679" i="1" s="1"/>
  <c r="D680" i="1"/>
  <c r="C680" i="1" s="1"/>
  <c r="D681" i="1"/>
  <c r="C681" i="1" s="1"/>
  <c r="D682" i="1"/>
  <c r="C682" i="1" s="1"/>
  <c r="D683" i="1"/>
  <c r="C683" i="1" s="1"/>
  <c r="D684" i="1"/>
  <c r="C684" i="1" s="1"/>
  <c r="D685" i="1"/>
  <c r="C685" i="1" s="1"/>
  <c r="D686" i="1"/>
  <c r="C686" i="1" s="1"/>
  <c r="D687" i="1"/>
  <c r="C687" i="1" s="1"/>
  <c r="D688" i="1"/>
  <c r="C688" i="1" s="1"/>
  <c r="D689" i="1"/>
  <c r="C689" i="1" s="1"/>
  <c r="D690" i="1"/>
  <c r="C690" i="1" s="1"/>
  <c r="D691" i="1"/>
  <c r="C691" i="1" s="1"/>
  <c r="D692" i="1"/>
  <c r="C692" i="1" s="1"/>
  <c r="D693" i="1"/>
  <c r="C693" i="1" s="1"/>
  <c r="D694" i="1"/>
  <c r="C694" i="1" s="1"/>
  <c r="D695" i="1"/>
  <c r="C695" i="1" s="1"/>
  <c r="D696" i="1"/>
  <c r="C696" i="1" s="1"/>
  <c r="D697" i="1"/>
  <c r="C697" i="1" s="1"/>
  <c r="D698" i="1"/>
  <c r="C698" i="1" s="1"/>
  <c r="D699" i="1"/>
  <c r="C699" i="1" s="1"/>
  <c r="D700" i="1"/>
  <c r="C700" i="1" s="1"/>
  <c r="D701" i="1"/>
  <c r="C701" i="1" s="1"/>
  <c r="D702" i="1"/>
  <c r="D703" i="1"/>
  <c r="D704" i="1"/>
  <c r="D705" i="1"/>
  <c r="D706" i="1"/>
  <c r="C706" i="1" s="1"/>
  <c r="D707" i="1"/>
  <c r="C707" i="1" s="1"/>
  <c r="D708" i="1"/>
  <c r="C708" i="1" s="1"/>
  <c r="D709" i="1"/>
  <c r="C709" i="1" s="1"/>
  <c r="D710" i="1"/>
  <c r="C710" i="1" s="1"/>
  <c r="D711" i="1"/>
  <c r="C711" i="1" s="1"/>
  <c r="D712" i="1"/>
  <c r="C712" i="1" s="1"/>
  <c r="D713" i="1"/>
  <c r="C713" i="1" s="1"/>
  <c r="D714" i="1"/>
  <c r="C714" i="1" s="1"/>
  <c r="D715" i="1"/>
  <c r="C715" i="1" s="1"/>
  <c r="D716" i="1"/>
  <c r="C716" i="1" s="1"/>
  <c r="D717" i="1"/>
  <c r="C717" i="1" s="1"/>
  <c r="D718" i="1"/>
  <c r="C718" i="1" s="1"/>
  <c r="D719" i="1"/>
  <c r="C719" i="1" s="1"/>
  <c r="D720" i="1"/>
  <c r="C720" i="1" s="1"/>
  <c r="D721" i="1"/>
  <c r="C721" i="1" s="1"/>
  <c r="D722" i="1"/>
  <c r="D723" i="1"/>
  <c r="C723" i="1" s="1"/>
  <c r="D724" i="1"/>
  <c r="C724" i="1" s="1"/>
  <c r="D725" i="1"/>
  <c r="C725" i="1" s="1"/>
  <c r="D726" i="1"/>
  <c r="C726" i="1" s="1"/>
  <c r="D727" i="1"/>
  <c r="C727" i="1" s="1"/>
  <c r="D728" i="1"/>
  <c r="C728" i="1" s="1"/>
  <c r="D729" i="1"/>
  <c r="C729" i="1" s="1"/>
  <c r="D730" i="1"/>
  <c r="C730" i="1" s="1"/>
  <c r="D731" i="1"/>
  <c r="C731" i="1" s="1"/>
  <c r="D732" i="1"/>
  <c r="C732" i="1" s="1"/>
  <c r="D733" i="1"/>
  <c r="C733" i="1" s="1"/>
  <c r="D734" i="1"/>
  <c r="D735" i="1"/>
  <c r="D736" i="1"/>
  <c r="D737" i="1"/>
  <c r="D738" i="1"/>
  <c r="C738" i="1" s="1"/>
  <c r="D739" i="1"/>
  <c r="C739" i="1" s="1"/>
  <c r="D740" i="1"/>
  <c r="C740" i="1" s="1"/>
  <c r="D741" i="1"/>
  <c r="C741" i="1" s="1"/>
  <c r="D742" i="1"/>
  <c r="C742" i="1" s="1"/>
  <c r="D743" i="1"/>
  <c r="C743" i="1" s="1"/>
  <c r="D744" i="1"/>
  <c r="C744" i="1" s="1"/>
  <c r="D745" i="1"/>
  <c r="C745" i="1" s="1"/>
  <c r="D746" i="1"/>
  <c r="C746" i="1" s="1"/>
  <c r="D747" i="1"/>
  <c r="C747" i="1" s="1"/>
  <c r="D748" i="1"/>
  <c r="D749" i="1"/>
  <c r="C749" i="1" s="1"/>
  <c r="D750" i="1"/>
  <c r="D751" i="1"/>
  <c r="C751" i="1" s="1"/>
  <c r="D752" i="1"/>
  <c r="C752" i="1" s="1"/>
  <c r="D753" i="1"/>
  <c r="C753" i="1" s="1"/>
  <c r="D754" i="1"/>
  <c r="C754" i="1" s="1"/>
  <c r="D755" i="1"/>
  <c r="C755" i="1" s="1"/>
  <c r="D756" i="1"/>
  <c r="C756" i="1" s="1"/>
  <c r="D757" i="1"/>
  <c r="C757" i="1" s="1"/>
  <c r="D758" i="1"/>
  <c r="C758" i="1" s="1"/>
  <c r="D759" i="1"/>
  <c r="C759" i="1" s="1"/>
  <c r="D760" i="1"/>
  <c r="C760" i="1" s="1"/>
  <c r="D761" i="1"/>
  <c r="C761" i="1" s="1"/>
  <c r="D762" i="1"/>
  <c r="C762" i="1" s="1"/>
  <c r="D763" i="1"/>
  <c r="C763" i="1" s="1"/>
  <c r="D764" i="1"/>
  <c r="C764" i="1" s="1"/>
  <c r="D765" i="1"/>
  <c r="C765" i="1" s="1"/>
  <c r="D766" i="1"/>
  <c r="C766" i="1" s="1"/>
  <c r="D767" i="1"/>
  <c r="C767" i="1" s="1"/>
  <c r="D768" i="1"/>
  <c r="D769" i="1"/>
  <c r="C769" i="1" s="1"/>
  <c r="D770" i="1"/>
  <c r="D771" i="1"/>
  <c r="C771" i="1" s="1"/>
  <c r="D772" i="1"/>
  <c r="C772" i="1" s="1"/>
  <c r="D773" i="1"/>
  <c r="C773" i="1" s="1"/>
  <c r="D774" i="1"/>
  <c r="C774" i="1" s="1"/>
  <c r="D775" i="1"/>
  <c r="C775" i="1" s="1"/>
  <c r="D776" i="1"/>
  <c r="C776" i="1" s="1"/>
  <c r="D777" i="1"/>
  <c r="C777" i="1" s="1"/>
  <c r="D778" i="1"/>
  <c r="D779" i="1"/>
  <c r="D780" i="1"/>
  <c r="C780" i="1" s="1"/>
  <c r="D781" i="1"/>
  <c r="C781" i="1" s="1"/>
  <c r="D782" i="1"/>
  <c r="C782" i="1" s="1"/>
  <c r="D783" i="1"/>
  <c r="C783" i="1" s="1"/>
  <c r="D784" i="1"/>
  <c r="C784" i="1" s="1"/>
  <c r="D785" i="1"/>
  <c r="D786" i="1"/>
  <c r="C786" i="1" s="1"/>
  <c r="D787" i="1"/>
  <c r="C787" i="1" s="1"/>
  <c r="D788" i="1"/>
  <c r="C788" i="1" s="1"/>
  <c r="D789" i="1"/>
  <c r="C789" i="1" s="1"/>
  <c r="D790" i="1"/>
  <c r="C790" i="1" s="1"/>
  <c r="D791" i="1"/>
  <c r="C791" i="1" s="1"/>
  <c r="D792" i="1"/>
  <c r="C792" i="1" s="1"/>
  <c r="D793" i="1"/>
  <c r="C793" i="1" s="1"/>
  <c r="D794" i="1"/>
  <c r="C794" i="1" s="1"/>
  <c r="D795" i="1"/>
  <c r="C795" i="1" s="1"/>
  <c r="D796" i="1"/>
  <c r="D797" i="1"/>
  <c r="C797" i="1" s="1"/>
  <c r="D798" i="1"/>
  <c r="D799" i="1"/>
  <c r="C799" i="1" s="1"/>
  <c r="D800" i="1"/>
  <c r="C800" i="1" s="1"/>
  <c r="D801" i="1"/>
  <c r="C801" i="1" s="1"/>
  <c r="D802" i="1"/>
  <c r="C802" i="1" s="1"/>
  <c r="D803" i="1"/>
  <c r="C803" i="1" s="1"/>
  <c r="D804" i="1"/>
  <c r="C804" i="1" s="1"/>
  <c r="D805" i="1"/>
  <c r="C805" i="1" s="1"/>
  <c r="D806" i="1"/>
  <c r="C806" i="1" s="1"/>
  <c r="D807" i="1"/>
  <c r="C807" i="1" s="1"/>
  <c r="D808" i="1"/>
  <c r="C808" i="1" s="1"/>
  <c r="D809" i="1"/>
  <c r="C809" i="1" s="1"/>
  <c r="D810" i="1"/>
  <c r="C810" i="1" s="1"/>
  <c r="D811" i="1"/>
  <c r="C811" i="1" s="1"/>
  <c r="D812" i="1"/>
  <c r="D813" i="1"/>
  <c r="D814" i="1"/>
  <c r="D815" i="1"/>
  <c r="D816" i="1"/>
  <c r="C816" i="1" s="1"/>
  <c r="D817" i="1"/>
  <c r="C817" i="1" s="1"/>
  <c r="D818" i="1"/>
  <c r="C818" i="1" s="1"/>
  <c r="D819" i="1"/>
  <c r="C819" i="1" s="1"/>
  <c r="D820" i="1"/>
  <c r="C820" i="1" s="1"/>
  <c r="D821" i="1"/>
  <c r="C821" i="1" s="1"/>
  <c r="D822" i="1"/>
  <c r="C822" i="1" s="1"/>
  <c r="D823" i="1"/>
  <c r="C823" i="1" s="1"/>
  <c r="D824" i="1"/>
  <c r="C824" i="1" s="1"/>
  <c r="D825" i="1"/>
  <c r="C825" i="1" s="1"/>
  <c r="D826" i="1"/>
  <c r="C826" i="1" s="1"/>
  <c r="D827" i="1"/>
  <c r="C827" i="1" s="1"/>
  <c r="D828" i="1"/>
  <c r="C828" i="1" s="1"/>
  <c r="D829" i="1"/>
  <c r="C829" i="1" s="1"/>
  <c r="D830" i="1"/>
  <c r="C830" i="1" s="1"/>
  <c r="D831" i="1"/>
  <c r="C831" i="1" s="1"/>
  <c r="D832" i="1"/>
  <c r="C832" i="1" s="1"/>
  <c r="D833" i="1"/>
  <c r="C833" i="1" s="1"/>
  <c r="D834" i="1"/>
  <c r="C834" i="1" s="1"/>
  <c r="D835" i="1"/>
  <c r="C835" i="1" s="1"/>
  <c r="D836" i="1"/>
  <c r="C836" i="1" s="1"/>
  <c r="D837" i="1"/>
  <c r="C837" i="1" s="1"/>
  <c r="D838" i="1"/>
  <c r="C838" i="1" s="1"/>
  <c r="D839" i="1"/>
  <c r="C839" i="1" s="1"/>
  <c r="D840" i="1"/>
  <c r="C840" i="1" s="1"/>
  <c r="D841" i="1"/>
  <c r="C841" i="1" s="1"/>
  <c r="D842" i="1"/>
  <c r="C842" i="1" s="1"/>
  <c r="D843" i="1"/>
  <c r="C843" i="1" s="1"/>
  <c r="D844" i="1"/>
  <c r="D845" i="1"/>
  <c r="C845" i="1" s="1"/>
  <c r="D846" i="1"/>
  <c r="D847" i="1"/>
  <c r="D848" i="1"/>
  <c r="D849" i="1"/>
  <c r="C849" i="1" s="1"/>
  <c r="D850" i="1"/>
  <c r="C850" i="1" s="1"/>
  <c r="D851" i="1"/>
  <c r="C851" i="1" s="1"/>
  <c r="D852" i="1"/>
  <c r="C852" i="1" s="1"/>
  <c r="D853" i="1"/>
  <c r="C853" i="1" s="1"/>
  <c r="D854" i="1"/>
  <c r="C854" i="1" s="1"/>
  <c r="D855" i="1"/>
  <c r="C855" i="1" s="1"/>
  <c r="D856" i="1"/>
  <c r="C856" i="1" s="1"/>
  <c r="D857" i="1"/>
  <c r="C857" i="1" s="1"/>
  <c r="D858" i="1"/>
  <c r="C858" i="1" s="1"/>
  <c r="D859" i="1"/>
  <c r="C859" i="1" s="1"/>
  <c r="D860" i="1"/>
  <c r="C860" i="1" s="1"/>
  <c r="D861" i="1"/>
  <c r="C861" i="1" s="1"/>
  <c r="D862" i="1"/>
  <c r="C862" i="1" s="1"/>
  <c r="D863" i="1"/>
  <c r="C863" i="1" s="1"/>
  <c r="D864" i="1"/>
  <c r="C864" i="1" s="1"/>
  <c r="D865" i="1"/>
  <c r="C865" i="1" s="1"/>
  <c r="D866" i="1"/>
  <c r="D867" i="1"/>
  <c r="C867" i="1" s="1"/>
  <c r="D868" i="1"/>
  <c r="C868" i="1" s="1"/>
  <c r="D869" i="1"/>
  <c r="C869" i="1" s="1"/>
  <c r="D870" i="1"/>
  <c r="C870" i="1" s="1"/>
  <c r="D871" i="1"/>
  <c r="C871" i="1" s="1"/>
  <c r="D872" i="1"/>
  <c r="C872" i="1" s="1"/>
  <c r="D873" i="1"/>
  <c r="C873" i="1" s="1"/>
  <c r="D874" i="1"/>
  <c r="C874" i="1" s="1"/>
  <c r="D875" i="1"/>
  <c r="C875" i="1" s="1"/>
  <c r="D876" i="1"/>
  <c r="C876" i="1" s="1"/>
  <c r="D877" i="1"/>
  <c r="C877" i="1" s="1"/>
  <c r="D878" i="1"/>
  <c r="D879" i="1"/>
  <c r="D880" i="1"/>
  <c r="D881" i="1"/>
  <c r="D882" i="1"/>
  <c r="D883" i="1"/>
  <c r="C883" i="1" s="1"/>
  <c r="D884" i="1"/>
  <c r="C884" i="1" s="1"/>
  <c r="D885" i="1"/>
  <c r="C885" i="1" s="1"/>
  <c r="D886" i="1"/>
  <c r="C886" i="1" s="1"/>
  <c r="D887" i="1"/>
  <c r="C887" i="1" s="1"/>
  <c r="D888" i="1"/>
  <c r="C888" i="1" s="1"/>
  <c r="D889" i="1"/>
  <c r="C889" i="1" s="1"/>
  <c r="D890" i="1"/>
  <c r="C890" i="1" s="1"/>
  <c r="D891" i="1"/>
  <c r="C891" i="1" s="1"/>
  <c r="D892" i="1"/>
  <c r="C892" i="1" s="1"/>
  <c r="D893" i="1"/>
  <c r="C893" i="1" s="1"/>
  <c r="D894" i="1"/>
  <c r="D895" i="1"/>
  <c r="C895" i="1" s="1"/>
  <c r="D896" i="1"/>
  <c r="C896" i="1" s="1"/>
  <c r="D897" i="1"/>
  <c r="C897" i="1" s="1"/>
  <c r="D898" i="1"/>
  <c r="C898" i="1" s="1"/>
  <c r="D899" i="1"/>
  <c r="C899" i="1" s="1"/>
  <c r="D900" i="1"/>
  <c r="C900" i="1" s="1"/>
  <c r="D901" i="1"/>
  <c r="C901" i="1" s="1"/>
  <c r="D902" i="1"/>
  <c r="C902" i="1" s="1"/>
  <c r="D903" i="1"/>
  <c r="C903" i="1" s="1"/>
  <c r="D904" i="1"/>
  <c r="C904" i="1" s="1"/>
  <c r="D905" i="1"/>
  <c r="C905" i="1" s="1"/>
  <c r="D906" i="1"/>
  <c r="C906" i="1" s="1"/>
  <c r="D907" i="1"/>
  <c r="C907" i="1" s="1"/>
  <c r="D908" i="1"/>
  <c r="C908" i="1" s="1"/>
  <c r="D909" i="1"/>
  <c r="C909" i="1" s="1"/>
  <c r="D910" i="1"/>
  <c r="C910" i="1" s="1"/>
  <c r="D911" i="1"/>
  <c r="C911" i="1" s="1"/>
  <c r="D912" i="1"/>
  <c r="C912" i="1" s="1"/>
  <c r="D913" i="1"/>
  <c r="C913" i="1" s="1"/>
  <c r="D914" i="1"/>
  <c r="D915" i="1"/>
  <c r="C915" i="1" s="1"/>
  <c r="D916" i="1"/>
  <c r="C916" i="1" s="1"/>
  <c r="D917" i="1"/>
  <c r="C917" i="1" s="1"/>
  <c r="D918" i="1"/>
  <c r="C918" i="1" s="1"/>
  <c r="D919" i="1"/>
  <c r="C919" i="1" s="1"/>
  <c r="D920" i="1"/>
  <c r="C920" i="1" s="1"/>
  <c r="D921" i="1"/>
  <c r="C921" i="1" s="1"/>
  <c r="D922" i="1"/>
  <c r="D923" i="1"/>
  <c r="D924" i="1"/>
  <c r="D925" i="1"/>
  <c r="D926" i="1"/>
  <c r="C926" i="1" s="1"/>
  <c r="D927" i="1"/>
  <c r="C927" i="1" s="1"/>
  <c r="D928" i="1"/>
  <c r="C928" i="1" s="1"/>
  <c r="D929" i="1"/>
  <c r="C929" i="1" s="1"/>
  <c r="D930" i="1"/>
  <c r="C930" i="1" s="1"/>
  <c r="D931" i="1"/>
  <c r="C931" i="1" s="1"/>
  <c r="D932" i="1"/>
  <c r="C932" i="1" s="1"/>
  <c r="D933" i="1"/>
  <c r="C933" i="1" s="1"/>
  <c r="D934" i="1"/>
  <c r="C934" i="1" s="1"/>
  <c r="D935" i="1"/>
  <c r="C935" i="1" s="1"/>
  <c r="D936" i="1"/>
  <c r="C936" i="1" s="1"/>
  <c r="D937" i="1"/>
  <c r="C937" i="1" s="1"/>
  <c r="D938" i="1"/>
  <c r="C938" i="1" s="1"/>
  <c r="D939" i="1"/>
  <c r="C939" i="1" s="1"/>
  <c r="D940" i="1"/>
  <c r="D941" i="1"/>
  <c r="C941" i="1" s="1"/>
  <c r="D942" i="1"/>
  <c r="D943" i="1"/>
  <c r="C943" i="1" s="1"/>
  <c r="D944" i="1"/>
  <c r="C944" i="1" s="1"/>
  <c r="D945" i="1"/>
  <c r="C945" i="1" s="1"/>
  <c r="D946" i="1"/>
  <c r="C946" i="1" s="1"/>
  <c r="D947" i="1"/>
  <c r="C947" i="1" s="1"/>
  <c r="D948" i="1"/>
  <c r="C948" i="1" s="1"/>
  <c r="D949" i="1"/>
  <c r="C949" i="1" s="1"/>
  <c r="D950" i="1"/>
  <c r="C950" i="1" s="1"/>
  <c r="D951" i="1"/>
  <c r="C951" i="1" s="1"/>
  <c r="D952" i="1"/>
  <c r="C952" i="1" s="1"/>
  <c r="D953" i="1"/>
  <c r="C953" i="1" s="1"/>
  <c r="D954" i="1"/>
  <c r="C954" i="1" s="1"/>
  <c r="D955" i="1"/>
  <c r="C955" i="1" s="1"/>
  <c r="D956" i="1"/>
  <c r="D957" i="1"/>
  <c r="D958" i="1"/>
  <c r="D959" i="1"/>
  <c r="C959" i="1" s="1"/>
  <c r="D960" i="1"/>
  <c r="C960" i="1" s="1"/>
  <c r="D961" i="1"/>
  <c r="C961" i="1" s="1"/>
  <c r="D962" i="1"/>
  <c r="D963" i="1"/>
  <c r="C963" i="1" s="1"/>
  <c r="D964" i="1"/>
  <c r="C964" i="1" s="1"/>
  <c r="D965" i="1"/>
  <c r="C965" i="1" s="1"/>
  <c r="D966" i="1"/>
  <c r="C966" i="1" s="1"/>
  <c r="D967" i="1"/>
  <c r="C967" i="1" s="1"/>
  <c r="D968" i="1"/>
  <c r="C968" i="1" s="1"/>
  <c r="D969" i="1"/>
  <c r="C969" i="1" s="1"/>
  <c r="D970" i="1"/>
  <c r="C970" i="1" s="1"/>
  <c r="D971" i="1"/>
  <c r="C971" i="1" s="1"/>
  <c r="D972" i="1"/>
  <c r="C972" i="1" s="1"/>
  <c r="D973" i="1"/>
  <c r="C973" i="1" s="1"/>
  <c r="D974" i="1"/>
  <c r="C974" i="1" s="1"/>
  <c r="D975" i="1"/>
  <c r="D976" i="1"/>
  <c r="C976" i="1" s="1"/>
  <c r="D977" i="1"/>
  <c r="C977" i="1" s="1"/>
  <c r="D978" i="1"/>
  <c r="D979" i="1"/>
  <c r="C979" i="1" s="1"/>
  <c r="D980" i="1"/>
  <c r="C980" i="1" s="1"/>
  <c r="D981" i="1"/>
  <c r="C981" i="1" s="1"/>
  <c r="D982" i="1"/>
  <c r="C982" i="1" s="1"/>
  <c r="D983" i="1"/>
  <c r="C983" i="1" s="1"/>
  <c r="D984" i="1"/>
  <c r="C984" i="1" s="1"/>
  <c r="D985" i="1"/>
  <c r="C985" i="1" s="1"/>
  <c r="D986" i="1"/>
  <c r="C986" i="1" s="1"/>
  <c r="D987" i="1"/>
  <c r="D988" i="1"/>
  <c r="D989" i="1"/>
  <c r="D990" i="1"/>
  <c r="C990" i="1" s="1"/>
  <c r="D991" i="1"/>
  <c r="C991" i="1" s="1"/>
  <c r="D992" i="1"/>
  <c r="D993" i="1"/>
  <c r="C993" i="1" s="1"/>
  <c r="D994" i="1"/>
  <c r="C994" i="1" s="1"/>
  <c r="D995" i="1"/>
  <c r="C995" i="1" s="1"/>
  <c r="D996" i="1"/>
  <c r="C996" i="1" s="1"/>
  <c r="D997" i="1"/>
  <c r="C997" i="1" s="1"/>
  <c r="D998" i="1"/>
  <c r="C998" i="1" s="1"/>
  <c r="D999" i="1"/>
  <c r="C999" i="1" s="1"/>
  <c r="D1000" i="1"/>
  <c r="C1000" i="1" s="1"/>
  <c r="D1001" i="1"/>
  <c r="C1001" i="1" s="1"/>
  <c r="D1002" i="1"/>
  <c r="C1002" i="1" s="1"/>
  <c r="D1003" i="1"/>
  <c r="C1003" i="1" s="1"/>
  <c r="D1004" i="1"/>
  <c r="D1005" i="1"/>
  <c r="C1005" i="1" s="1"/>
  <c r="D1006" i="1"/>
  <c r="C1006" i="1" s="1"/>
  <c r="D1007" i="1"/>
  <c r="C1007" i="1" s="1"/>
  <c r="D1008" i="1"/>
  <c r="D1009" i="1"/>
  <c r="C1009" i="1" s="1"/>
  <c r="D1010" i="1"/>
  <c r="C1010" i="1" s="1"/>
  <c r="D1011" i="1"/>
  <c r="C1011" i="1" s="1"/>
  <c r="D1012" i="1"/>
  <c r="C1012" i="1" s="1"/>
  <c r="D1013" i="1"/>
  <c r="C1013" i="1" s="1"/>
  <c r="D1014" i="1"/>
  <c r="C1014" i="1" s="1"/>
  <c r="D1015" i="1"/>
  <c r="C1015" i="1" s="1"/>
  <c r="D1016" i="1"/>
  <c r="C1016" i="1" s="1"/>
  <c r="D1017" i="1"/>
  <c r="C1017" i="1" s="1"/>
  <c r="D1018" i="1"/>
  <c r="C1018" i="1" s="1"/>
  <c r="D1019" i="1"/>
  <c r="C1019" i="1" s="1"/>
  <c r="D1020" i="1"/>
  <c r="C1020" i="1" s="1"/>
  <c r="D1021" i="1"/>
  <c r="C1021" i="1" s="1"/>
  <c r="D1022" i="1"/>
  <c r="D1023" i="1"/>
  <c r="D1024" i="1"/>
  <c r="D1025" i="1"/>
  <c r="D1026" i="1"/>
  <c r="C1026" i="1" s="1"/>
  <c r="D1027" i="1"/>
  <c r="C1027" i="1" s="1"/>
  <c r="D1028" i="1"/>
  <c r="C1028" i="1" s="1"/>
  <c r="D1029" i="1"/>
  <c r="C1029" i="1" s="1"/>
  <c r="D1030" i="1"/>
  <c r="C1030" i="1" s="1"/>
  <c r="D1031" i="1"/>
  <c r="C1031" i="1" s="1"/>
  <c r="D1032" i="1"/>
  <c r="C1032" i="1" s="1"/>
  <c r="D1033" i="1"/>
  <c r="C1033" i="1" s="1"/>
  <c r="D1034" i="1"/>
  <c r="C1034" i="1" s="1"/>
  <c r="D1035" i="1"/>
  <c r="C1035" i="1" s="1"/>
  <c r="D1036" i="1"/>
  <c r="C1036" i="1" s="1"/>
  <c r="D1037" i="1"/>
  <c r="C1037" i="1" s="1"/>
  <c r="D1038" i="1"/>
  <c r="C1038" i="1" s="1"/>
  <c r="D1039" i="1"/>
  <c r="C1039" i="1" s="1"/>
  <c r="D1040" i="1"/>
  <c r="C1040" i="1" s="1"/>
  <c r="D1041" i="1"/>
  <c r="C1041" i="1" s="1"/>
  <c r="D1042" i="1"/>
  <c r="C1042" i="1" s="1"/>
  <c r="D1043" i="1"/>
  <c r="C1043" i="1" s="1"/>
  <c r="D1044" i="1"/>
  <c r="C1044" i="1" s="1"/>
  <c r="D1045" i="1"/>
  <c r="C1045" i="1" s="1"/>
  <c r="D1046" i="1"/>
  <c r="C1046" i="1" s="1"/>
  <c r="D1047" i="1"/>
  <c r="C1047" i="1" s="1"/>
  <c r="D1048" i="1"/>
  <c r="C1048" i="1" s="1"/>
  <c r="D1049" i="1"/>
  <c r="C1049" i="1" s="1"/>
  <c r="D1050" i="1"/>
  <c r="C1050" i="1" s="1"/>
  <c r="D1051" i="1"/>
  <c r="C1051" i="1" s="1"/>
  <c r="D1052" i="1"/>
  <c r="C1052" i="1" s="1"/>
  <c r="D1053" i="1"/>
  <c r="C1053" i="1" s="1"/>
  <c r="D1054" i="1"/>
  <c r="D1055" i="1"/>
  <c r="C1055" i="1" s="1"/>
  <c r="D1056" i="1"/>
  <c r="C1056" i="1" s="1"/>
  <c r="D1057" i="1"/>
  <c r="C1057" i="1" s="1"/>
  <c r="D1058" i="1"/>
  <c r="D1059" i="1"/>
  <c r="C1059" i="1" s="1"/>
  <c r="D1060" i="1"/>
  <c r="C1060" i="1" s="1"/>
  <c r="D1061" i="1"/>
  <c r="C1061" i="1" s="1"/>
  <c r="D1062" i="1"/>
  <c r="C1062" i="1" s="1"/>
  <c r="D1063" i="1"/>
  <c r="C1063" i="1" s="1"/>
  <c r="D1064" i="1"/>
  <c r="C1064" i="1" s="1"/>
  <c r="D1065" i="1"/>
  <c r="C1065" i="1" s="1"/>
  <c r="D1066" i="1"/>
  <c r="D1067" i="1"/>
  <c r="D1068" i="1"/>
  <c r="D1069" i="1"/>
  <c r="C1069" i="1" s="1"/>
  <c r="D1070" i="1"/>
  <c r="C1070" i="1" s="1"/>
  <c r="D1071" i="1"/>
  <c r="D1072" i="1"/>
  <c r="C1072" i="1" s="1"/>
  <c r="D1073" i="1"/>
  <c r="C1073" i="1" s="1"/>
  <c r="D1074" i="1"/>
  <c r="C1074" i="1" s="1"/>
  <c r="D1075" i="1"/>
  <c r="C1075" i="1" s="1"/>
  <c r="D1076" i="1"/>
  <c r="C1076" i="1" s="1"/>
  <c r="D1077" i="1"/>
  <c r="C1077" i="1" s="1"/>
  <c r="D1078" i="1"/>
  <c r="C1078" i="1" s="1"/>
  <c r="D1079" i="1"/>
  <c r="C1079" i="1" s="1"/>
  <c r="D1080" i="1"/>
  <c r="C1080" i="1" s="1"/>
  <c r="D1081" i="1"/>
  <c r="C1081" i="1" s="1"/>
  <c r="D1082" i="1"/>
  <c r="C1082" i="1" s="1"/>
  <c r="D1083" i="1"/>
  <c r="C1083" i="1" s="1"/>
  <c r="D1084" i="1"/>
  <c r="C1084" i="1" s="1"/>
  <c r="D1085" i="1"/>
  <c r="C1085" i="1" s="1"/>
  <c r="D1086" i="1"/>
  <c r="C1086" i="1" s="1"/>
  <c r="D1087" i="1"/>
  <c r="D1088" i="1"/>
  <c r="C1088" i="1" s="1"/>
  <c r="D1089" i="1"/>
  <c r="C1089" i="1" s="1"/>
  <c r="D1090" i="1"/>
  <c r="C1090" i="1" s="1"/>
  <c r="D1091" i="1"/>
  <c r="C1091" i="1" s="1"/>
  <c r="D1092" i="1"/>
  <c r="C1092" i="1" s="1"/>
  <c r="D1093" i="1"/>
  <c r="C1093" i="1" s="1"/>
  <c r="D1094" i="1"/>
  <c r="C1094" i="1" s="1"/>
  <c r="D1095" i="1"/>
  <c r="C1095" i="1" s="1"/>
  <c r="D1096" i="1"/>
  <c r="C1096" i="1" s="1"/>
  <c r="D1097" i="1"/>
  <c r="C1097" i="1" s="1"/>
  <c r="D1098" i="1"/>
  <c r="C1098" i="1" s="1"/>
  <c r="D1099" i="1"/>
  <c r="C1099" i="1" s="1"/>
  <c r="D1100" i="1"/>
  <c r="D1101" i="1"/>
  <c r="D1102" i="1"/>
  <c r="D1103" i="1"/>
  <c r="C1103" i="1" s="1"/>
  <c r="D1104" i="1"/>
  <c r="C1104" i="1" s="1"/>
  <c r="D1105" i="1"/>
  <c r="C1105" i="1" s="1"/>
  <c r="D1106" i="1"/>
  <c r="D1107" i="1"/>
  <c r="C1107" i="1" s="1"/>
  <c r="D1108" i="1"/>
  <c r="C1108" i="1" s="1"/>
  <c r="D1109" i="1"/>
  <c r="C1109" i="1" s="1"/>
  <c r="D1110" i="1"/>
  <c r="C1110" i="1" s="1"/>
  <c r="D1111" i="1"/>
  <c r="C1111" i="1" s="1"/>
  <c r="D1112" i="1"/>
  <c r="C1112" i="1" s="1"/>
  <c r="D1113" i="1"/>
  <c r="C1113" i="1" s="1"/>
  <c r="D1114" i="1"/>
  <c r="C1114" i="1" s="1"/>
  <c r="D1115" i="1"/>
  <c r="C1115" i="1" s="1"/>
  <c r="D1116" i="1"/>
  <c r="D1117" i="1"/>
  <c r="C1117" i="1" s="1"/>
  <c r="D1118" i="1"/>
  <c r="C1118" i="1" s="1"/>
  <c r="D1119" i="1"/>
  <c r="C1119" i="1" s="1"/>
  <c r="D1120" i="1"/>
  <c r="D1121" i="1"/>
  <c r="C1121" i="1" s="1"/>
  <c r="D1122" i="1"/>
  <c r="C1122" i="1" s="1"/>
  <c r="D1123" i="1"/>
  <c r="C1123" i="1" s="1"/>
  <c r="D1124" i="1"/>
  <c r="C1124" i="1" s="1"/>
  <c r="D1125" i="1"/>
  <c r="C1125" i="1" s="1"/>
  <c r="D1126" i="1"/>
  <c r="C1126" i="1" s="1"/>
  <c r="D1127" i="1"/>
  <c r="C1127" i="1" s="1"/>
  <c r="D1128" i="1"/>
  <c r="C1128" i="1" s="1"/>
  <c r="D1129" i="1"/>
  <c r="C1129" i="1" s="1"/>
  <c r="D1130" i="1"/>
  <c r="C1130" i="1" s="1"/>
  <c r="D1131" i="1"/>
  <c r="C1131" i="1" s="1"/>
  <c r="D1132" i="1"/>
  <c r="D1133" i="1"/>
  <c r="C1133" i="1" s="1"/>
  <c r="D1134" i="1"/>
  <c r="D1135" i="1"/>
  <c r="D1136" i="1"/>
  <c r="D1137" i="1"/>
  <c r="C1137" i="1" s="1"/>
  <c r="D1138" i="1"/>
  <c r="C1138" i="1" s="1"/>
  <c r="D1139" i="1"/>
  <c r="C1139" i="1" s="1"/>
  <c r="D1140" i="1"/>
  <c r="C1140" i="1" s="1"/>
  <c r="D1141" i="1"/>
  <c r="C1141" i="1" s="1"/>
  <c r="D1142" i="1"/>
  <c r="C1142" i="1" s="1"/>
  <c r="D1143" i="1"/>
  <c r="C1143" i="1" s="1"/>
  <c r="D1144" i="1"/>
  <c r="C1144" i="1" s="1"/>
  <c r="D1145" i="1"/>
  <c r="C1145" i="1" s="1"/>
  <c r="D1146" i="1"/>
  <c r="C1146" i="1" s="1"/>
  <c r="D1147" i="1"/>
  <c r="C1147" i="1" s="1"/>
  <c r="D1148" i="1"/>
  <c r="C1148" i="1" s="1"/>
  <c r="D1149" i="1"/>
  <c r="C1149" i="1" s="1"/>
  <c r="D1150" i="1"/>
  <c r="D1151" i="1"/>
  <c r="C1151" i="1" s="1"/>
  <c r="D1152" i="1"/>
  <c r="C1152" i="1" s="1"/>
  <c r="D1153" i="1"/>
  <c r="C1153" i="1" s="1"/>
  <c r="D1154" i="1"/>
  <c r="C1154" i="1" s="1"/>
  <c r="D1155" i="1"/>
  <c r="C1155" i="1" s="1"/>
  <c r="D1156" i="1"/>
  <c r="C1156" i="1" s="1"/>
  <c r="D1157" i="1"/>
  <c r="C1157" i="1" s="1"/>
  <c r="D1158" i="1"/>
  <c r="C1158" i="1" s="1"/>
  <c r="D1159" i="1"/>
  <c r="C1159" i="1" s="1"/>
  <c r="D1160" i="1"/>
  <c r="C1160" i="1" s="1"/>
  <c r="D1161" i="1"/>
  <c r="C1161" i="1" s="1"/>
  <c r="D1162" i="1"/>
  <c r="C1162" i="1" s="1"/>
  <c r="D1163" i="1"/>
  <c r="C1163" i="1" s="1"/>
  <c r="D1164" i="1"/>
  <c r="C1164" i="1" s="1"/>
  <c r="D1165" i="1"/>
  <c r="C1165" i="1" s="1"/>
  <c r="D1166" i="1"/>
  <c r="C1166" i="1" s="1"/>
  <c r="D1167" i="1"/>
  <c r="C1167" i="1" s="1"/>
  <c r="D1168" i="1"/>
  <c r="C1168" i="1" s="1"/>
  <c r="D1169" i="1"/>
  <c r="C1169" i="1" s="1"/>
  <c r="D1170" i="1"/>
  <c r="C1170" i="1" s="1"/>
  <c r="D2" i="1"/>
  <c r="C2" i="1" s="1"/>
  <c r="E10" i="8"/>
  <c r="E11" i="8"/>
  <c r="E6" i="8"/>
  <c r="E4" i="8"/>
  <c r="E5" i="6"/>
  <c r="E6" i="6"/>
  <c r="E7" i="6"/>
  <c r="E8" i="6"/>
  <c r="E10" i="6"/>
  <c r="E4" i="6"/>
  <c r="E9" i="6"/>
  <c r="E7" i="8"/>
  <c r="E13" i="6"/>
  <c r="E11" i="6"/>
  <c r="E5" i="8"/>
  <c r="E9" i="8"/>
  <c r="E12" i="6"/>
  <c r="E8" i="8"/>
  <c r="H3" i="10" l="1"/>
  <c r="G3" i="10"/>
  <c r="I3" i="10"/>
</calcChain>
</file>

<file path=xl/sharedStrings.xml><?xml version="1.0" encoding="utf-8"?>
<sst xmlns="http://schemas.openxmlformats.org/spreadsheetml/2006/main" count="8419" uniqueCount="465">
  <si>
    <t>team1</t>
  </si>
  <si>
    <t>team2</t>
  </si>
  <si>
    <t>match_date</t>
  </si>
  <si>
    <t>toss_winner</t>
  </si>
  <si>
    <t>toss_decision</t>
  </si>
  <si>
    <t>winner</t>
  </si>
  <si>
    <t>player_of_match</t>
  </si>
  <si>
    <t>venue</t>
  </si>
  <si>
    <t>season</t>
  </si>
  <si>
    <t>result</t>
  </si>
  <si>
    <t>Royal Challengers Bangalore</t>
  </si>
  <si>
    <t>Kolkata Knight Riders</t>
  </si>
  <si>
    <t>field</t>
  </si>
  <si>
    <t>BB McCullum</t>
  </si>
  <si>
    <t>M Chinnaswamy Stadium</t>
  </si>
  <si>
    <t>N</t>
  </si>
  <si>
    <t>Kings XI Punjab</t>
  </si>
  <si>
    <t>Chennai Super Kings</t>
  </si>
  <si>
    <t>bat</t>
  </si>
  <si>
    <t>MEK Hussey</t>
  </si>
  <si>
    <t>Punjab Cricket Association Stadium, Mohali</t>
  </si>
  <si>
    <t>Delhi Daredevils</t>
  </si>
  <si>
    <t>Rajasthan Royals</t>
  </si>
  <si>
    <t>MF Maharoof</t>
  </si>
  <si>
    <t>Feroz Shah Kotla</t>
  </si>
  <si>
    <t>Mumbai Indians</t>
  </si>
  <si>
    <t>MV Boucher</t>
  </si>
  <si>
    <t>Wankhede Stadium</t>
  </si>
  <si>
    <t>Deccan Chargers</t>
  </si>
  <si>
    <t>DJ Hussey</t>
  </si>
  <si>
    <t>Eden Gardens</t>
  </si>
  <si>
    <t>SR Watson</t>
  </si>
  <si>
    <t>Sawai Mansingh Stadium</t>
  </si>
  <si>
    <t>V Sehwag</t>
  </si>
  <si>
    <t>Rajiv Gandhi International Stadium, Uppal</t>
  </si>
  <si>
    <t>ML Hayden</t>
  </si>
  <si>
    <t>MA Chidambaram Stadium, Chepauk</t>
  </si>
  <si>
    <t>YK Pathan</t>
  </si>
  <si>
    <t>KC Sangakkara</t>
  </si>
  <si>
    <t>JDP Oram</t>
  </si>
  <si>
    <t>AC Gilchrist</t>
  </si>
  <si>
    <t>Dr DY Patil Sports Academy</t>
  </si>
  <si>
    <t>SM Katich</t>
  </si>
  <si>
    <t>MS Dhoni</t>
  </si>
  <si>
    <t>ST Jayasuriya</t>
  </si>
  <si>
    <t>GD McGrath</t>
  </si>
  <si>
    <t>SA Asnodkar</t>
  </si>
  <si>
    <t>SE Marsh</t>
  </si>
  <si>
    <t>P Kumar</t>
  </si>
  <si>
    <t>IK Pathan</t>
  </si>
  <si>
    <t>Sohail Tanvir</t>
  </si>
  <si>
    <t>SM Pollock</t>
  </si>
  <si>
    <t>S Sreesanth</t>
  </si>
  <si>
    <t>A Nehra</t>
  </si>
  <si>
    <t>SC Ganguly</t>
  </si>
  <si>
    <t>L Balaji</t>
  </si>
  <si>
    <t>Shoaib Akhtar</t>
  </si>
  <si>
    <t>A Mishra</t>
  </si>
  <si>
    <t>DPMD Jayawardene</t>
  </si>
  <si>
    <t>GC Smith</t>
  </si>
  <si>
    <t>DJ Bravo</t>
  </si>
  <si>
    <t>M Ntini</t>
  </si>
  <si>
    <t>SP Goswami</t>
  </si>
  <si>
    <t>A Kumble</t>
  </si>
  <si>
    <t>JA Morkel</t>
  </si>
  <si>
    <t>KD Karthik</t>
  </si>
  <si>
    <t>Umar Gul</t>
  </si>
  <si>
    <t>R Vinay Kumar</t>
  </si>
  <si>
    <t>SK Raina</t>
  </si>
  <si>
    <t>CRD Fernando</t>
  </si>
  <si>
    <t>R Dravid</t>
  </si>
  <si>
    <t>Newlands</t>
  </si>
  <si>
    <t>SR Tendulkar</t>
  </si>
  <si>
    <t>RP Singh</t>
  </si>
  <si>
    <t>DL Vettori</t>
  </si>
  <si>
    <t>M Muralitharan</t>
  </si>
  <si>
    <t>St George's Park</t>
  </si>
  <si>
    <t>CH Gayle</t>
  </si>
  <si>
    <t>Kingsmead</t>
  </si>
  <si>
    <t>AB de Villiers</t>
  </si>
  <si>
    <t>RS Bopara</t>
  </si>
  <si>
    <t>PP Ojha</t>
  </si>
  <si>
    <t>TM Dilshan</t>
  </si>
  <si>
    <t>HH Gibbs</t>
  </si>
  <si>
    <t>SuperSport Park</t>
  </si>
  <si>
    <t>DP Nannes</t>
  </si>
  <si>
    <t>JP Duminy</t>
  </si>
  <si>
    <t>Buffalo Park</t>
  </si>
  <si>
    <t>Yuvraj Singh</t>
  </si>
  <si>
    <t>SB Jakati</t>
  </si>
  <si>
    <t>New Wanderers Stadium</t>
  </si>
  <si>
    <t>JH Kallis</t>
  </si>
  <si>
    <t>G Gambhir</t>
  </si>
  <si>
    <t>RG Sharma</t>
  </si>
  <si>
    <t>A Singh</t>
  </si>
  <si>
    <t>S Badrinath</t>
  </si>
  <si>
    <t>De Beers Diamond Oval</t>
  </si>
  <si>
    <t>DR Smith</t>
  </si>
  <si>
    <t>LRPL Taylor</t>
  </si>
  <si>
    <t>Harbhajan Singh</t>
  </si>
  <si>
    <t>R Bhatia</t>
  </si>
  <si>
    <t>SK Warne</t>
  </si>
  <si>
    <t>B Lee</t>
  </si>
  <si>
    <t>OUTsurance Oval</t>
  </si>
  <si>
    <t>BJ Hodge</t>
  </si>
  <si>
    <t>LR Shukla</t>
  </si>
  <si>
    <t>MK Pandey</t>
  </si>
  <si>
    <t>AD Mathews</t>
  </si>
  <si>
    <t>Brabourne Stadium</t>
  </si>
  <si>
    <t>MK Tiwary</t>
  </si>
  <si>
    <t>WPUJC Vaas</t>
  </si>
  <si>
    <t>Sardar Patel Stadium, Motera</t>
  </si>
  <si>
    <t>A Symonds</t>
  </si>
  <si>
    <t>Barabati Stadium</t>
  </si>
  <si>
    <t>AA Jhunjhunwala</t>
  </si>
  <si>
    <t>J Theron</t>
  </si>
  <si>
    <t>RV Uthappa</t>
  </si>
  <si>
    <t>AC Voges</t>
  </si>
  <si>
    <t>Brabourne Stadium, Mumbai</t>
  </si>
  <si>
    <t>KM Jadhav</t>
  </si>
  <si>
    <t>NV Ojha</t>
  </si>
  <si>
    <t>DA Warner</t>
  </si>
  <si>
    <t>SL Malinga</t>
  </si>
  <si>
    <t>M Vijay</t>
  </si>
  <si>
    <t>KP Pietersen</t>
  </si>
  <si>
    <t>AT Rayudu</t>
  </si>
  <si>
    <t>PD Collingwood</t>
  </si>
  <si>
    <t>Vidarbha Cricket Association Stadium, Jamtha</t>
  </si>
  <si>
    <t>MJ Lumb</t>
  </si>
  <si>
    <t>TL Suman</t>
  </si>
  <si>
    <t>RJ Harris</t>
  </si>
  <si>
    <t>PP Chawla</t>
  </si>
  <si>
    <t>Harmeet Singh</t>
  </si>
  <si>
    <t>R Ashwin</t>
  </si>
  <si>
    <t>KA Pollard</t>
  </si>
  <si>
    <t>Himachal Pradesh Cricket Association Stadium</t>
  </si>
  <si>
    <t>R McLaren</t>
  </si>
  <si>
    <t>JD Unadkat</t>
  </si>
  <si>
    <t>M Kartik</t>
  </si>
  <si>
    <t>DE Bollinger</t>
  </si>
  <si>
    <t>S Anirudha</t>
  </si>
  <si>
    <t>SK Trivedi</t>
  </si>
  <si>
    <t>Kochi Tuskers Kerala</t>
  </si>
  <si>
    <t>Nehru Stadium</t>
  </si>
  <si>
    <t>Pune Warriors</t>
  </si>
  <si>
    <t>SB Wagh</t>
  </si>
  <si>
    <t>MD Mishra</t>
  </si>
  <si>
    <t>PC Valthaty</t>
  </si>
  <si>
    <t>DW Steyn</t>
  </si>
  <si>
    <t>S Sohal</t>
  </si>
  <si>
    <t>MM Patel</t>
  </si>
  <si>
    <t>V Kohli</t>
  </si>
  <si>
    <t>I Sharma</t>
  </si>
  <si>
    <t>J Botha</t>
  </si>
  <si>
    <t>Iqbal Abdulla</t>
  </si>
  <si>
    <t>P Parameswaran</t>
  </si>
  <si>
    <t>R Sharma</t>
  </si>
  <si>
    <t>BA Bhatt</t>
  </si>
  <si>
    <t>MR Marsh</t>
  </si>
  <si>
    <t>S Aravind</t>
  </si>
  <si>
    <t>Holkar Cricket Stadium</t>
  </si>
  <si>
    <t>WP Saha</t>
  </si>
  <si>
    <t>S Dhawan</t>
  </si>
  <si>
    <t>JEC Franklin</t>
  </si>
  <si>
    <t>RE Levi</t>
  </si>
  <si>
    <t>SPD Smith</t>
  </si>
  <si>
    <t>AM Rahane</t>
  </si>
  <si>
    <t>RA Jadeja</t>
  </si>
  <si>
    <t>Dr. Y.S. Rajasekhara Reddy ACA-VDCA Cricket Stadium</t>
  </si>
  <si>
    <t>MN Samuels</t>
  </si>
  <si>
    <t>Subrata Roy Sahara Stadium</t>
  </si>
  <si>
    <t>M Morkel</t>
  </si>
  <si>
    <t>F du Plessis</t>
  </si>
  <si>
    <t>AD Mascarenhas</t>
  </si>
  <si>
    <t>Shakib Al Hasan</t>
  </si>
  <si>
    <t>JD Ryder</t>
  </si>
  <si>
    <t>SP Narine</t>
  </si>
  <si>
    <t>S Nadeem</t>
  </si>
  <si>
    <t>KMDN Kulasekara</t>
  </si>
  <si>
    <t>CL White</t>
  </si>
  <si>
    <t>Mandeep Singh</t>
  </si>
  <si>
    <t>P Negi</t>
  </si>
  <si>
    <t>Azhar Mahmood</t>
  </si>
  <si>
    <t>BW Hilfenhaus</t>
  </si>
  <si>
    <t>A Chandila</t>
  </si>
  <si>
    <t>UT Yadav</t>
  </si>
  <si>
    <t>MS Bisla</t>
  </si>
  <si>
    <t>Sunrisers Hyderabad</t>
  </si>
  <si>
    <t>GH Vihari</t>
  </si>
  <si>
    <t>M Vohra</t>
  </si>
  <si>
    <t>AJ Finch</t>
  </si>
  <si>
    <t>JP Faulkner</t>
  </si>
  <si>
    <t>MS Gony</t>
  </si>
  <si>
    <t>Maharashtra Cricket Association Stadium</t>
  </si>
  <si>
    <t>DA Miller</t>
  </si>
  <si>
    <t>Shaheed Veer Narayan Singh International Stadium</t>
  </si>
  <si>
    <t>SV Samson</t>
  </si>
  <si>
    <t>DJG Sammy</t>
  </si>
  <si>
    <t>MG Johnson</t>
  </si>
  <si>
    <t>KK Cooper</t>
  </si>
  <si>
    <t>PA Patel</t>
  </si>
  <si>
    <t>JSCA International Stadium Complex</t>
  </si>
  <si>
    <t>AP Tare</t>
  </si>
  <si>
    <t>LJ Wright</t>
  </si>
  <si>
    <t>Sheikh Zayed Stadium</t>
  </si>
  <si>
    <t>YS Chahal</t>
  </si>
  <si>
    <t>Sharjah Cricket Stadium</t>
  </si>
  <si>
    <t>GJ Maxwell</t>
  </si>
  <si>
    <t>Dubai International Cricket Stadium</t>
  </si>
  <si>
    <t>CA Lynn</t>
  </si>
  <si>
    <t>MM Sharma</t>
  </si>
  <si>
    <t>PV Tambe</t>
  </si>
  <si>
    <t>Sandeep Sharma</t>
  </si>
  <si>
    <t>B Kumar</t>
  </si>
  <si>
    <t>CJ Anderson</t>
  </si>
  <si>
    <t>KK Nair</t>
  </si>
  <si>
    <t>AR Patel</t>
  </si>
  <si>
    <t>LMP Simmons</t>
  </si>
  <si>
    <t>GJ Bailey</t>
  </si>
  <si>
    <t>DJ Hooda</t>
  </si>
  <si>
    <t>MA Agarwal</t>
  </si>
  <si>
    <t>AD Russell</t>
  </si>
  <si>
    <t>SS Iyer</t>
  </si>
  <si>
    <t>MA Starc</t>
  </si>
  <si>
    <t>VR Aaron</t>
  </si>
  <si>
    <t>TA Boult</t>
  </si>
  <si>
    <t>NM Coulter-Nile</t>
  </si>
  <si>
    <t>EJG Morgan</t>
  </si>
  <si>
    <t>HH Pandya</t>
  </si>
  <si>
    <t>MC Henriques</t>
  </si>
  <si>
    <t>Z Khan</t>
  </si>
  <si>
    <t>MJ McClenaghan</t>
  </si>
  <si>
    <t>Rising Pune Supergiants</t>
  </si>
  <si>
    <t>Gujarat Lions</t>
  </si>
  <si>
    <t>Punjab Cricket Association IS Bindra Stadium, Mohali</t>
  </si>
  <si>
    <t>Saurashtra Cricket Association Stadium</t>
  </si>
  <si>
    <t>Q de Kock</t>
  </si>
  <si>
    <t>Mustafizur Rahman</t>
  </si>
  <si>
    <t>SA Yadav</t>
  </si>
  <si>
    <t>AB Dinda</t>
  </si>
  <si>
    <t>CH Morris</t>
  </si>
  <si>
    <t>CR Brathwaite</t>
  </si>
  <si>
    <t>RR Pant</t>
  </si>
  <si>
    <t>MP Stoinis</t>
  </si>
  <si>
    <t>A Zampa</t>
  </si>
  <si>
    <t>KH Pandya</t>
  </si>
  <si>
    <t>HM Amla</t>
  </si>
  <si>
    <t>Green Park</t>
  </si>
  <si>
    <t>BCJ Cutting</t>
  </si>
  <si>
    <t>Rising Pune Supergiant</t>
  </si>
  <si>
    <t>M.Chinnaswamy Stadium</t>
  </si>
  <si>
    <t>Rashid Khan</t>
  </si>
  <si>
    <t>N Rana</t>
  </si>
  <si>
    <t>JJ Bumrah</t>
  </si>
  <si>
    <t>AJ Tye</t>
  </si>
  <si>
    <t>BA Stokes</t>
  </si>
  <si>
    <t>KS Williamson</t>
  </si>
  <si>
    <t>JC Buttler</t>
  </si>
  <si>
    <t>LH Ferguson</t>
  </si>
  <si>
    <t>Mohammed Shami</t>
  </si>
  <si>
    <t>RA Tripathi</t>
  </si>
  <si>
    <t>Mohammed Siraj</t>
  </si>
  <si>
    <t>HV Patel</t>
  </si>
  <si>
    <t>Washington Sundar</t>
  </si>
  <si>
    <t>KV Sharma</t>
  </si>
  <si>
    <t>KL Rahul</t>
  </si>
  <si>
    <t>Punjab Cricket Association IS Bindra Stadium</t>
  </si>
  <si>
    <t>Rajiv Gandhi International Stadium</t>
  </si>
  <si>
    <t>SW Billings</t>
  </si>
  <si>
    <t>MA Chidambaram Stadium</t>
  </si>
  <si>
    <t>JJ Roy</t>
  </si>
  <si>
    <t>B Stanlake</t>
  </si>
  <si>
    <t>JC Archer</t>
  </si>
  <si>
    <t>AS Rajpoot</t>
  </si>
  <si>
    <t>Arun Jaitley Stadium</t>
  </si>
  <si>
    <t>TG Southee</t>
  </si>
  <si>
    <t>Mujeeb Ur Rahman</t>
  </si>
  <si>
    <t>Ishan Kishan</t>
  </si>
  <si>
    <t>Kuldeep Yadav</t>
  </si>
  <si>
    <t>S Gopal</t>
  </si>
  <si>
    <t>L Ngidi</t>
  </si>
  <si>
    <t>Delhi Capitals</t>
  </si>
  <si>
    <t>PP Shaw</t>
  </si>
  <si>
    <t>JM Bairstow</t>
  </si>
  <si>
    <t>SM Curran</t>
  </si>
  <si>
    <t>AS Joseph</t>
  </si>
  <si>
    <t>K Rabada</t>
  </si>
  <si>
    <t>HF Gurney</t>
  </si>
  <si>
    <t>DL Chahar</t>
  </si>
  <si>
    <t>KMA Paul</t>
  </si>
  <si>
    <t>Imran Tahir</t>
  </si>
  <si>
    <t>KK Ahmed</t>
  </si>
  <si>
    <t>Shubman Gill</t>
  </si>
  <si>
    <t>SO Hetmyer</t>
  </si>
  <si>
    <t>Shivam Mavi</t>
  </si>
  <si>
    <t>PK Garg</t>
  </si>
  <si>
    <t>R Tewatia</t>
  </si>
  <si>
    <t>A Nortje</t>
  </si>
  <si>
    <t>CV Varun</t>
  </si>
  <si>
    <t>CJ Jordan</t>
  </si>
  <si>
    <t>RD Gaikwad</t>
  </si>
  <si>
    <t>PJ Cummins</t>
  </si>
  <si>
    <t>MA Chidambaram Stadium, Chepauk, Chennai</t>
  </si>
  <si>
    <t>Wankhede Stadium, Mumbai</t>
  </si>
  <si>
    <t>Punjab Kings</t>
  </si>
  <si>
    <t>RD Chahar</t>
  </si>
  <si>
    <t>MM Ali</t>
  </si>
  <si>
    <t>D Padikkal</t>
  </si>
  <si>
    <t>Narendra Modi Stadium, Ahmedabad</t>
  </si>
  <si>
    <t>Arun Jaitley Stadium, Delhi</t>
  </si>
  <si>
    <t>Harpreet Brar</t>
  </si>
  <si>
    <t>Zayed Cricket Stadium, Abu Dhabi</t>
  </si>
  <si>
    <t>Kartik Tyagi</t>
  </si>
  <si>
    <t>JO Holder</t>
  </si>
  <si>
    <t>JR Hazlewood</t>
  </si>
  <si>
    <t>KS Bharat</t>
  </si>
  <si>
    <t>VR Iyer</t>
  </si>
  <si>
    <t>OF Smith</t>
  </si>
  <si>
    <t>Dr DY Patil Sports Academy, Mumbai</t>
  </si>
  <si>
    <t>Lucknow Super Giants</t>
  </si>
  <si>
    <t>Gujarat Titans</t>
  </si>
  <si>
    <t>Maharashtra Cricket Association Stadium, Pune</t>
  </si>
  <si>
    <t>PWH de Silva</t>
  </si>
  <si>
    <t>E Lewis</t>
  </si>
  <si>
    <t>LS Livingstone</t>
  </si>
  <si>
    <t>Avesh Khan</t>
  </si>
  <si>
    <t>Abhishek Sharma</t>
  </si>
  <si>
    <t>Anuj Rawat</t>
  </si>
  <si>
    <t>S Dube</t>
  </si>
  <si>
    <t>Umran Malik</t>
  </si>
  <si>
    <t>Mukesh Choudhary</t>
  </si>
  <si>
    <t>M Jansen</t>
  </si>
  <si>
    <t>R Parag</t>
  </si>
  <si>
    <t>Mohsin Khan</t>
  </si>
  <si>
    <t>RK Singh</t>
  </si>
  <si>
    <t>TH David</t>
  </si>
  <si>
    <t>YBK Jaiswal</t>
  </si>
  <si>
    <t>DP Conway</t>
  </si>
  <si>
    <t>DR Sams</t>
  </si>
  <si>
    <t>SN Thakur</t>
  </si>
  <si>
    <t>Eden Gardens, Kolkata</t>
  </si>
  <si>
    <t>RM Patidar</t>
  </si>
  <si>
    <t>Arshdeep Singh</t>
  </si>
  <si>
    <t>Punjab Cricket Association IS Bindra Stadium, Mohali, Chandigarh</t>
  </si>
  <si>
    <t>MA Wood</t>
  </si>
  <si>
    <t>Bharat Ratna Shri Atal Bihari Vajpayee Ekana Cricket Stadium, Lucknow</t>
  </si>
  <si>
    <t>Rajiv Gandhi International Stadium, Uppal, Hyderabad</t>
  </si>
  <si>
    <t>M Chinnaswamy Stadium, Bengaluru</t>
  </si>
  <si>
    <t>B Sai Sudharsan</t>
  </si>
  <si>
    <t>NT Ellis</t>
  </si>
  <si>
    <t>Barsapara Cricket Stadium, Guwahati</t>
  </si>
  <si>
    <t>N Pooran</t>
  </si>
  <si>
    <t>HC Brook</t>
  </si>
  <si>
    <t>Sikandar Raza</t>
  </si>
  <si>
    <t>C Green</t>
  </si>
  <si>
    <t>Sawai Mansingh Stadium, Jaipur</t>
  </si>
  <si>
    <t>A Manohar</t>
  </si>
  <si>
    <t>J Little</t>
  </si>
  <si>
    <t>PD Salt</t>
  </si>
  <si>
    <t>M Pathirana</t>
  </si>
  <si>
    <t>GD Phillips</t>
  </si>
  <si>
    <t>P Simran Singh</t>
  </si>
  <si>
    <t>PN Mankad</t>
  </si>
  <si>
    <t>WD Parnell</t>
  </si>
  <si>
    <t>RR Rossouw</t>
  </si>
  <si>
    <t>Himachal Pradesh Cricket Association Stadium, Dharamsala</t>
  </si>
  <si>
    <t>Akash Madhwal</t>
  </si>
  <si>
    <t>Royal Challengers Bengaluru</t>
  </si>
  <si>
    <t>Maharaja Yadavindra Singh International Cricket Stadium, Mullanpur</t>
  </si>
  <si>
    <t>MP Yadav</t>
  </si>
  <si>
    <t>Dr. Y.S. Rajasekhara Reddy ACA-VDCA Cricket Stadium, Visakhapatnam</t>
  </si>
  <si>
    <t>Shashank Singh</t>
  </si>
  <si>
    <t>Yash Thakur</t>
  </si>
  <si>
    <t>R Shepherd</t>
  </si>
  <si>
    <t>Nithish Kumar Reddy</t>
  </si>
  <si>
    <t>TM Head</t>
  </si>
  <si>
    <t>R Sai Kishore</t>
  </si>
  <si>
    <t>J Fraser-McGurk</t>
  </si>
  <si>
    <t>WG Jacks</t>
  </si>
  <si>
    <t>Simarjeet Singh</t>
  </si>
  <si>
    <t>Shahbaz Ahmed</t>
  </si>
  <si>
    <t>Noor Ahmad</t>
  </si>
  <si>
    <t>Ashutosh Sharma</t>
  </si>
  <si>
    <t>M Prasidh Krishna</t>
  </si>
  <si>
    <t>Ashwani Kumar</t>
  </si>
  <si>
    <t>VG Arora</t>
  </si>
  <si>
    <t>DS Rathi</t>
  </si>
  <si>
    <t>Priyansh Arya</t>
  </si>
  <si>
    <t>AK Markram</t>
  </si>
  <si>
    <t>Mukesh Kumar</t>
  </si>
  <si>
    <t>V Suryavanshi</t>
  </si>
  <si>
    <t>RD Rickelton</t>
  </si>
  <si>
    <t>Sameer Rizvi</t>
  </si>
  <si>
    <t>H Klaasen</t>
  </si>
  <si>
    <t>D Brevis</t>
  </si>
  <si>
    <t>JP Inglis</t>
  </si>
  <si>
    <t>JM Sharma</t>
  </si>
  <si>
    <t>Suyash Sharma</t>
  </si>
  <si>
    <t>Maharaja Yadavindra Singh International Cricket Stadium, New Chandigarh</t>
  </si>
  <si>
    <t>year</t>
  </si>
  <si>
    <t>Year</t>
  </si>
  <si>
    <t>Winner</t>
  </si>
  <si>
    <t>Runner-up</t>
  </si>
  <si>
    <t>Player of the Match (Final)</t>
  </si>
  <si>
    <t>Player of the Season (MVP)</t>
  </si>
  <si>
    <t>Yusuf Pathan</t>
  </si>
  <si>
    <t>Shane Watson</t>
  </si>
  <si>
    <t>Anil Kumble</t>
  </si>
  <si>
    <t>Adam Gilchrist</t>
  </si>
  <si>
    <t>Suresh Raina</t>
  </si>
  <si>
    <t>Sachin Tendulkar</t>
  </si>
  <si>
    <t>Murali Vijay</t>
  </si>
  <si>
    <t>Chris Gayle</t>
  </si>
  <si>
    <t>Manvinder Bisla</t>
  </si>
  <si>
    <t>Sunil Narine</t>
  </si>
  <si>
    <t>Kieron Pollard</t>
  </si>
  <si>
    <t>Manish Pandey</t>
  </si>
  <si>
    <t>Glenn Maxwell</t>
  </si>
  <si>
    <t>Rohit Sharma</t>
  </si>
  <si>
    <t>Andre Russell</t>
  </si>
  <si>
    <t>Ben Cutting</t>
  </si>
  <si>
    <t>Virat Kohli</t>
  </si>
  <si>
    <t>Krunal Pandya</t>
  </si>
  <si>
    <t>Ben Stokes</t>
  </si>
  <si>
    <t>Jasprit Bumrah</t>
  </si>
  <si>
    <t>Trent Boult</t>
  </si>
  <si>
    <t>Jofra Archer</t>
  </si>
  <si>
    <t>Faf du Plessis</t>
  </si>
  <si>
    <t>Harshal Patel</t>
  </si>
  <si>
    <t>Hardik Pandya</t>
  </si>
  <si>
    <t>Jos Buttler</t>
  </si>
  <si>
    <t>Devon Conway</t>
  </si>
  <si>
    <t>Mitchell Starc</t>
  </si>
  <si>
    <t>Suryakumar Yadav</t>
  </si>
  <si>
    <t>Row Labels</t>
  </si>
  <si>
    <t>(blank)</t>
  </si>
  <si>
    <t>Grand Total</t>
  </si>
  <si>
    <t>Count of toss_winner</t>
  </si>
  <si>
    <t>Column Labels</t>
  </si>
  <si>
    <t>Count of result</t>
  </si>
  <si>
    <t>Count of winner</t>
  </si>
  <si>
    <t>Count of player_of_match</t>
  </si>
  <si>
    <t>IPL-2010</t>
  </si>
  <si>
    <t>IPL-2009</t>
  </si>
  <si>
    <t>IPL-2008</t>
  </si>
  <si>
    <t>Player Name</t>
  </si>
  <si>
    <t>No.of MOM</t>
  </si>
  <si>
    <t>Count of Winner</t>
  </si>
  <si>
    <t>Teams</t>
  </si>
  <si>
    <t>IPL-2011</t>
  </si>
  <si>
    <t>IPL-2012</t>
  </si>
  <si>
    <t>IPL-2013</t>
  </si>
  <si>
    <t>IPL-2014</t>
  </si>
  <si>
    <t>IPL-2015</t>
  </si>
  <si>
    <t>IPL-2016</t>
  </si>
  <si>
    <t>IPL-2017</t>
  </si>
  <si>
    <t>IPL-2018</t>
  </si>
  <si>
    <t>IPL-2019</t>
  </si>
  <si>
    <t>IPL-2020</t>
  </si>
  <si>
    <t>IPL-2021</t>
  </si>
  <si>
    <t>IPL-2022</t>
  </si>
  <si>
    <t>IPL-2023</t>
  </si>
  <si>
    <t>IPL-2024</t>
  </si>
  <si>
    <t>IPL-2025</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</si>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</sst>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16"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13" fillId="33" borderId="10" xfId="0" applyFont="1" applyFill="1" applyBorder="1" applyAlignment="1">
      <alignment horizontal="center" vertical="center" wrapText="1"/>
    </xf>
    <xf numFmtId="0" fontId="13" fillId="33" borderId="11" xfId="0" applyFont="1" applyFill="1" applyBorder="1" applyAlignment="1">
      <alignment horizontal="center" vertical="center" wrapText="1"/>
    </xf>
    <xf numFmtId="0" fontId="13" fillId="33" borderId="12" xfId="0" applyFont="1" applyFill="1" applyBorder="1" applyAlignment="1">
      <alignment horizontal="center" vertical="center" wrapText="1"/>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[IPL_Data_Analysis 2008-2025.xlsx]MATCHES WON BASEDON TOSS!Matches won based on toss</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mATCHES</a:t>
            </a:r>
            <a:r>
              <a:rPr lang="en-IN" baseline="0"/>
              <a:t> WIN BYTEAM WRT BAT FIRST&amp;BOWL FIRST SINCE 2008 </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WON BASEDON TOSS'!$B$3:$B$4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WON BASEDON TOSS'!$A$5:$A$14</c:f>
              <c:strCache>
                <c:ptCount val="9"/>
                <c:pt idx="0">
                  <c:v>Chennai Super Kings</c:v>
                </c:pt>
                <c:pt idx="1">
                  <c:v>Mumbai Indians</c:v>
                </c:pt>
                <c:pt idx="2">
                  <c:v>Delhi Capitals</c:v>
                </c:pt>
                <c:pt idx="3">
                  <c:v>Kolkata Knight Riders</c:v>
                </c:pt>
                <c:pt idx="4">
                  <c:v>Kings XI Punjab</c:v>
                </c:pt>
                <c:pt idx="5">
                  <c:v>Sunrisers Hyderabad</c:v>
                </c:pt>
                <c:pt idx="6">
                  <c:v>Royal Challengers Bangalore</c:v>
                </c:pt>
                <c:pt idx="7">
                  <c:v>Rajasthan Royals</c:v>
                </c:pt>
                <c:pt idx="8">
                  <c:v>(blank)</c:v>
                </c:pt>
              </c:strCache>
            </c:strRef>
          </c:cat>
          <c:val>
            <c:numRef>
              <c:f>'MATCHES WON BASEDON TOSS'!$B$5:$B$14</c:f>
              <c:numCache>
                <c:formatCode>General</c:formatCode>
                <c:ptCount val="9"/>
                <c:pt idx="0">
                  <c:v>2</c:v>
                </c:pt>
                <c:pt idx="1">
                  <c:v>3</c:v>
                </c:pt>
                <c:pt idx="2">
                  <c:v>2</c:v>
                </c:pt>
                <c:pt idx="5">
                  <c:v>2</c:v>
                </c:pt>
                <c:pt idx="8">
                  <c:v>1</c:v>
                </c:pt>
              </c:numCache>
            </c:numRef>
          </c:val>
          <c:extLst>
            <c:ext xmlns:c16="http://schemas.microsoft.com/office/drawing/2014/chart" uri="{C3380CC4-5D6E-409C-BE32-E72D297353CC}">
              <c16:uniqueId val="{00000000-A05F-4CB8-8470-3419964705CC}"/>
            </c:ext>
          </c:extLst>
        </c:ser>
        <c:ser>
          <c:idx val="1"/>
          <c:order val="1"/>
          <c:tx>
            <c:strRef>
              <c:f>'MATCHES WON BASEDON TOSS'!$C$3:$C$4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WON BASEDON TOSS'!$A$5:$A$14</c:f>
              <c:strCache>
                <c:ptCount val="9"/>
                <c:pt idx="0">
                  <c:v>Chennai Super Kings</c:v>
                </c:pt>
                <c:pt idx="1">
                  <c:v>Mumbai Indians</c:v>
                </c:pt>
                <c:pt idx="2">
                  <c:v>Delhi Capitals</c:v>
                </c:pt>
                <c:pt idx="3">
                  <c:v>Kolkata Knight Riders</c:v>
                </c:pt>
                <c:pt idx="4">
                  <c:v>Kings XI Punjab</c:v>
                </c:pt>
                <c:pt idx="5">
                  <c:v>Sunrisers Hyderabad</c:v>
                </c:pt>
                <c:pt idx="6">
                  <c:v>Royal Challengers Bangalore</c:v>
                </c:pt>
                <c:pt idx="7">
                  <c:v>Rajasthan Royals</c:v>
                </c:pt>
                <c:pt idx="8">
                  <c:v>(blank)</c:v>
                </c:pt>
              </c:strCache>
            </c:strRef>
          </c:cat>
          <c:val>
            <c:numRef>
              <c:f>'MATCHES WON BASEDON TOSS'!$C$5:$C$14</c:f>
              <c:numCache>
                <c:formatCode>General</c:formatCode>
                <c:ptCount val="9"/>
                <c:pt idx="0">
                  <c:v>8</c:v>
                </c:pt>
                <c:pt idx="1">
                  <c:v>7</c:v>
                </c:pt>
                <c:pt idx="2">
                  <c:v>7</c:v>
                </c:pt>
                <c:pt idx="3">
                  <c:v>6</c:v>
                </c:pt>
                <c:pt idx="4">
                  <c:v>6</c:v>
                </c:pt>
                <c:pt idx="5">
                  <c:v>4</c:v>
                </c:pt>
                <c:pt idx="6">
                  <c:v>5</c:v>
                </c:pt>
                <c:pt idx="7">
                  <c:v>5</c:v>
                </c:pt>
                <c:pt idx="8">
                  <c:v>2</c:v>
                </c:pt>
              </c:numCache>
            </c:numRef>
          </c:val>
          <c:extLst>
            <c:ext xmlns:c16="http://schemas.microsoft.com/office/drawing/2014/chart" uri="{C3380CC4-5D6E-409C-BE32-E72D297353CC}">
              <c16:uniqueId val="{00000001-A05F-4CB8-8470-3419964705CC}"/>
            </c:ext>
          </c:extLst>
        </c:ser>
        <c:dLbls>
          <c:dLblPos val="ctr"/>
          <c:showLegendKey val="0"/>
          <c:showVal val="1"/>
          <c:showCatName val="0"/>
          <c:showSerName val="0"/>
          <c:showPercent val="0"/>
          <c:showBubbleSize val="0"/>
        </c:dLbls>
        <c:gapWidth val="79"/>
        <c:overlap val="100"/>
        <c:axId val="2083270895"/>
        <c:axId val="2083273775"/>
      </c:barChart>
      <c:catAx>
        <c:axId val="2083270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83273775"/>
        <c:crosses val="autoZero"/>
        <c:auto val="1"/>
        <c:lblAlgn val="ctr"/>
        <c:lblOffset val="100"/>
        <c:noMultiLvlLbl val="0"/>
      </c:catAx>
      <c:valAx>
        <c:axId val="2083273775"/>
        <c:scaling>
          <c:orientation val="minMax"/>
        </c:scaling>
        <c:delete val="1"/>
        <c:axPos val="l"/>
        <c:numFmt formatCode="General" sourceLinked="1"/>
        <c:majorTickMark val="none"/>
        <c:minorTickMark val="none"/>
        <c:tickLblPos val="nextTo"/>
        <c:crossAx val="208327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[IPL_Data_Analysis 2008-2025.xlsx]toss decision!toss decision</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Toss</a:t>
            </a:r>
            <a:r>
              <a:rPr lang="en-IN" baseline="0"/>
              <a:t> decision based on winning%</a:t>
            </a:r>
            <a:endParaRPr lang="en-IN"/>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'toss decision'!$B$3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D71-41CF-BF59-54980B859BC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D71-41CF-BF59-54980B859BC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10</c:v>
                </c:pt>
                <c:pt idx="1">
                  <c:v>50</c:v>
                </c:pt>
              </c:numCache>
            </c:numRef>
          </c:val>
          <c:extLst>
            <c:ext xmlns:c16="http://schemas.microsoft.com/office/drawing/2014/chart" uri="{C3380CC4-5D6E-409C-BE32-E72D297353CC}">
              <c16:uniqueId val="{00000000-767F-4ED1-822A-44B586BA0D4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[IPL_Data_Analysis 2008-2025.xlsx]TOP 10 VENUES!TOP 10 VENUES</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TOP</a:t>
            </a:r>
            <a:r>
              <a:rPr lang="en-IN" baseline="0"/>
              <a:t> 10 VENUES WITH MOST MATCHES &amp; WINNING BASED ON BAT OR BOWL FIRST</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VENUES'!$A$5:$A$14</c:f>
              <c:strCache>
                <c:ptCount val="9"/>
                <c:pt idx="0">
                  <c:v>Dr. Y.S. Rajasekhara Reddy ACA-VDCA Cricket Stadium</c:v>
                </c:pt>
                <c:pt idx="1">
                  <c:v>M.Chinnaswamy Stadium</c:v>
                </c:pt>
                <c:pt idx="2">
                  <c:v>Arun Jaitley Stadium</c:v>
                </c:pt>
                <c:pt idx="3">
                  <c:v>Wankhede Stadium</c:v>
                </c:pt>
                <c:pt idx="4">
                  <c:v>Eden Gardens</c:v>
                </c:pt>
                <c:pt idx="5">
                  <c:v>Punjab Cricket Association IS Bindra Stadium</c:v>
                </c:pt>
                <c:pt idx="6">
                  <c:v>Sawai Mansingh Stadium</c:v>
                </c:pt>
                <c:pt idx="7">
                  <c:v>MA Chidambaram Stadium</c:v>
                </c:pt>
                <c:pt idx="8">
                  <c:v>Rajiv Gandhi International Stadium</c:v>
                </c:pt>
              </c:strCache>
            </c:strRef>
          </c:cat>
          <c:val>
            <c:numRef>
              <c:f>'TOP 10 VENUES'!$B$5:$B$14</c:f>
              <c:numCache>
                <c:formatCode>General</c:formatCode>
                <c:ptCount val="9"/>
                <c:pt idx="2">
                  <c:v>4</c:v>
                </c:pt>
                <c:pt idx="7">
                  <c:v>2</c:v>
                </c:pt>
                <c:pt idx="8">
                  <c:v>3</c:v>
                </c:pt>
              </c:numCache>
            </c:numRef>
          </c:val>
          <c:extLst>
            <c:ext xmlns:c16="http://schemas.microsoft.com/office/drawing/2014/chart" uri="{C3380CC4-5D6E-409C-BE32-E72D297353CC}">
              <c16:uniqueId val="{00000000-A925-45A6-A8C9-C8185B4BA9D2}"/>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VENUES'!$A$5:$A$14</c:f>
              <c:strCache>
                <c:ptCount val="9"/>
                <c:pt idx="0">
                  <c:v>Dr. Y.S. Rajasekhara Reddy ACA-VDCA Cricket Stadium</c:v>
                </c:pt>
                <c:pt idx="1">
                  <c:v>M.Chinnaswamy Stadium</c:v>
                </c:pt>
                <c:pt idx="2">
                  <c:v>Arun Jaitley Stadium</c:v>
                </c:pt>
                <c:pt idx="3">
                  <c:v>Wankhede Stadium</c:v>
                </c:pt>
                <c:pt idx="4">
                  <c:v>Eden Gardens</c:v>
                </c:pt>
                <c:pt idx="5">
                  <c:v>Punjab Cricket Association IS Bindra Stadium</c:v>
                </c:pt>
                <c:pt idx="6">
                  <c:v>Sawai Mansingh Stadium</c:v>
                </c:pt>
                <c:pt idx="7">
                  <c:v>MA Chidambaram Stadium</c:v>
                </c:pt>
                <c:pt idx="8">
                  <c:v>Rajiv Gandhi International Stadium</c:v>
                </c:pt>
              </c:strCache>
            </c:strRef>
          </c:cat>
          <c:val>
            <c:numRef>
              <c:f>'TOP 10 VENUES'!$C$5:$C$14</c:f>
              <c:numCache>
                <c:formatCode>General</c:formatCode>
                <c:ptCount val="9"/>
                <c:pt idx="0">
                  <c:v>2</c:v>
                </c:pt>
                <c:pt idx="1">
                  <c:v>6</c:v>
                </c:pt>
                <c:pt idx="2">
                  <c:v>2</c:v>
                </c:pt>
                <c:pt idx="3">
                  <c:v>6</c:v>
                </c:pt>
                <c:pt idx="4">
                  <c:v>7</c:v>
                </c:pt>
                <c:pt idx="5">
                  <c:v>7</c:v>
                </c:pt>
                <c:pt idx="6">
                  <c:v>7</c:v>
                </c:pt>
                <c:pt idx="7">
                  <c:v>6</c:v>
                </c:pt>
                <c:pt idx="8">
                  <c:v>5</c:v>
                </c:pt>
              </c:numCache>
            </c:numRef>
          </c:val>
          <c:extLst>
            <c:ext xmlns:c16="http://schemas.microsoft.com/office/drawing/2014/chart" uri="{C3380CC4-5D6E-409C-BE32-E72D297353CC}">
              <c16:uniqueId val="{00000001-A925-45A6-A8C9-C8185B4BA9D2}"/>
            </c:ext>
          </c:extLst>
        </c:ser>
        <c:dLbls>
          <c:dLblPos val="ctr"/>
          <c:showLegendKey val="0"/>
          <c:showVal val="1"/>
          <c:showCatName val="0"/>
          <c:showSerName val="0"/>
          <c:showPercent val="0"/>
          <c:showBubbleSize val="0"/>
        </c:dLbls>
        <c:gapWidth val="79"/>
        <c:overlap val="100"/>
        <c:axId val="164097519"/>
        <c:axId val="164098959"/>
      </c:barChart>
      <c:catAx>
        <c:axId val="16409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4098959"/>
        <c:crosses val="autoZero"/>
        <c:auto val="1"/>
        <c:lblAlgn val="ctr"/>
        <c:lblOffset val="100"/>
        <c:noMultiLvlLbl val="0"/>
      </c:catAx>
      <c:valAx>
        <c:axId val="164098959"/>
        <c:scaling>
          <c:orientation val="minMax"/>
        </c:scaling>
        <c:delete val="1"/>
        <c:axPos val="b"/>
        <c:numFmt formatCode="General" sourceLinked="1"/>
        <c:majorTickMark val="none"/>
        <c:minorTickMark val="none"/>
        <c:tickLblPos val="nextTo"/>
        <c:crossAx val="16409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WON</a:t>
            </a:r>
            <a:r>
              <a:rPr lang="en-IN" baseline="0"/>
              <a:t> MOM</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5.2692038495188102E-2"/>
          <c:y val="0.19486111111111112"/>
          <c:w val="0.90286351706036749"/>
          <c:h val="0.67003098571011954"/>
        </c:manualLayout>
      </c:layout>
      <c:barChart>
        <c:barDir val="col"/>
        <c:grouping val="clustered"/>
        <c:varyColors val="0"/>
        <c:ser>
          <c:idx val="0"/>
          <c:order val="0"/>
          <c:tx>
            <c:strRef>
              <c:f>MOM!$E$3</c:f>
              <c:strCache>
                <c:ptCount val="1"/>
                <c:pt idx="0">
                  <c:v>No.of MOM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AD Russell</c:v>
                </c:pt>
                <c:pt idx="1">
                  <c:v>RR Pant</c:v>
                </c:pt>
                <c:pt idx="2">
                  <c:v>MS Dhoni</c:v>
                </c:pt>
                <c:pt idx="3">
                  <c:v>HH Pandya</c:v>
                </c:pt>
                <c:pt idx="4">
                  <c:v>JJ Bumrah</c:v>
                </c:pt>
                <c:pt idx="5">
                  <c:v>AB de Villiers</c:v>
                </c:pt>
                <c:pt idx="6">
                  <c:v>S Dhawan</c:v>
                </c:pt>
                <c:pt idx="7">
                  <c:v>DA Warner</c:v>
                </c:pt>
                <c:pt idx="8">
                  <c:v>JM Bairstow</c:v>
                </c:pt>
                <c:pt idx="9">
                  <c:v>SR Watson</c:v>
                </c:pt>
              </c:strCache>
            </c:strRef>
          </c:cat>
          <c:val>
            <c:numRef>
              <c:f>MOM!$E$4:$E$13</c:f>
              <c:numCache>
                <c:formatCode>General</c:formatCode>
                <c:ptCount val="10"/>
                <c:pt idx="0">
                  <c:v>4</c:v>
                </c:pt>
                <c:pt idx="1">
                  <c:v>3</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00-38D0-4EA7-95A6-41AB00B81A3A}"/>
            </c:ext>
          </c:extLst>
        </c:ser>
        <c:dLbls>
          <c:dLblPos val="outEnd"/>
          <c:showLegendKey val="0"/>
          <c:showVal val="1"/>
          <c:showCatName val="0"/>
          <c:showSerName val="0"/>
          <c:showPercent val="0"/>
          <c:showBubbleSize val="0"/>
        </c:dLbls>
        <c:gapWidth val="219"/>
        <c:overlap val="-27"/>
        <c:axId val="190255263"/>
        <c:axId val="190255743"/>
      </c:barChart>
      <c:catAx>
        <c:axId val="19025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55743"/>
        <c:crosses val="autoZero"/>
        <c:auto val="1"/>
        <c:lblAlgn val="ctr"/>
        <c:lblOffset val="100"/>
        <c:noMultiLvlLbl val="0"/>
      </c:catAx>
      <c:valAx>
        <c:axId val="19025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5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[IPL_Data_Analysis 2008-2025.xlsx]MATCHES WON BASEDON TOSS!Matches won based on toss</c:name>
    <c:fmtId val="1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mATCHES</a:t>
            </a:r>
            <a:r>
              <a:rPr lang="en-IN" baseline="0"/>
              <a:t> WIN BYTEAM WRT BAT FIRST&amp;BOWL FIRST SINCE 2008 </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WON BASEDON TOSS'!$B$3:$B$4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WON BASEDON TOSS'!$A$5:$A$14</c:f>
              <c:strCache>
                <c:ptCount val="9"/>
                <c:pt idx="0">
                  <c:v>Chennai Super Kings</c:v>
                </c:pt>
                <c:pt idx="1">
                  <c:v>Mumbai Indians</c:v>
                </c:pt>
                <c:pt idx="2">
                  <c:v>Delhi Capitals</c:v>
                </c:pt>
                <c:pt idx="3">
                  <c:v>Kolkata Knight Riders</c:v>
                </c:pt>
                <c:pt idx="4">
                  <c:v>Kings XI Punjab</c:v>
                </c:pt>
                <c:pt idx="5">
                  <c:v>Sunrisers Hyderabad</c:v>
                </c:pt>
                <c:pt idx="6">
                  <c:v>Royal Challengers Bangalore</c:v>
                </c:pt>
                <c:pt idx="7">
                  <c:v>Rajasthan Royals</c:v>
                </c:pt>
                <c:pt idx="8">
                  <c:v>(blank)</c:v>
                </c:pt>
              </c:strCache>
            </c:strRef>
          </c:cat>
          <c:val>
            <c:numRef>
              <c:f>'MATCHES WON BASEDON TOSS'!$B$5:$B$14</c:f>
              <c:numCache>
                <c:formatCode>General</c:formatCode>
                <c:ptCount val="9"/>
                <c:pt idx="0">
                  <c:v>2</c:v>
                </c:pt>
                <c:pt idx="1">
                  <c:v>3</c:v>
                </c:pt>
                <c:pt idx="2">
                  <c:v>2</c:v>
                </c:pt>
                <c:pt idx="5">
                  <c:v>2</c:v>
                </c:pt>
                <c:pt idx="8">
                  <c:v>1</c:v>
                </c:pt>
              </c:numCache>
            </c:numRef>
          </c:val>
          <c:extLst>
            <c:ext xmlns:c16="http://schemas.microsoft.com/office/drawing/2014/chart" uri="{C3380CC4-5D6E-409C-BE32-E72D297353CC}">
              <c16:uniqueId val="{00000000-A184-44DB-BD1A-722709A42A64}"/>
            </c:ext>
          </c:extLst>
        </c:ser>
        <c:ser>
          <c:idx val="1"/>
          <c:order val="1"/>
          <c:tx>
            <c:strRef>
              <c:f>'MATCHES WON BASEDON TOSS'!$C$3:$C$4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WON BASEDON TOSS'!$A$5:$A$14</c:f>
              <c:strCache>
                <c:ptCount val="9"/>
                <c:pt idx="0">
                  <c:v>Chennai Super Kings</c:v>
                </c:pt>
                <c:pt idx="1">
                  <c:v>Mumbai Indians</c:v>
                </c:pt>
                <c:pt idx="2">
                  <c:v>Delhi Capitals</c:v>
                </c:pt>
                <c:pt idx="3">
                  <c:v>Kolkata Knight Riders</c:v>
                </c:pt>
                <c:pt idx="4">
                  <c:v>Kings XI Punjab</c:v>
                </c:pt>
                <c:pt idx="5">
                  <c:v>Sunrisers Hyderabad</c:v>
                </c:pt>
                <c:pt idx="6">
                  <c:v>Royal Challengers Bangalore</c:v>
                </c:pt>
                <c:pt idx="7">
                  <c:v>Rajasthan Royals</c:v>
                </c:pt>
                <c:pt idx="8">
                  <c:v>(blank)</c:v>
                </c:pt>
              </c:strCache>
            </c:strRef>
          </c:cat>
          <c:val>
            <c:numRef>
              <c:f>'MATCHES WON BASEDON TOSS'!$C$5:$C$14</c:f>
              <c:numCache>
                <c:formatCode>General</c:formatCode>
                <c:ptCount val="9"/>
                <c:pt idx="0">
                  <c:v>8</c:v>
                </c:pt>
                <c:pt idx="1">
                  <c:v>7</c:v>
                </c:pt>
                <c:pt idx="2">
                  <c:v>7</c:v>
                </c:pt>
                <c:pt idx="3">
                  <c:v>6</c:v>
                </c:pt>
                <c:pt idx="4">
                  <c:v>6</c:v>
                </c:pt>
                <c:pt idx="5">
                  <c:v>4</c:v>
                </c:pt>
                <c:pt idx="6">
                  <c:v>5</c:v>
                </c:pt>
                <c:pt idx="7">
                  <c:v>5</c:v>
                </c:pt>
                <c:pt idx="8">
                  <c:v>2</c:v>
                </c:pt>
              </c:numCache>
            </c:numRef>
          </c:val>
          <c:extLst>
            <c:ext xmlns:c16="http://schemas.microsoft.com/office/drawing/2014/chart" uri="{C3380CC4-5D6E-409C-BE32-E72D297353CC}">
              <c16:uniqueId val="{00000001-A184-44DB-BD1A-722709A42A64}"/>
            </c:ext>
          </c:extLst>
        </c:ser>
        <c:dLbls>
          <c:dLblPos val="ctr"/>
          <c:showLegendKey val="0"/>
          <c:showVal val="1"/>
          <c:showCatName val="0"/>
          <c:showSerName val="0"/>
          <c:showPercent val="0"/>
          <c:showBubbleSize val="0"/>
        </c:dLbls>
        <c:gapWidth val="79"/>
        <c:overlap val="100"/>
        <c:axId val="2083270895"/>
        <c:axId val="2083273775"/>
      </c:barChart>
      <c:catAx>
        <c:axId val="2083270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83273775"/>
        <c:crosses val="autoZero"/>
        <c:auto val="1"/>
        <c:lblAlgn val="ctr"/>
        <c:lblOffset val="100"/>
        <c:noMultiLvlLbl val="0"/>
      </c:catAx>
      <c:valAx>
        <c:axId val="2083273775"/>
        <c:scaling>
          <c:orientation val="minMax"/>
        </c:scaling>
        <c:delete val="1"/>
        <c:axPos val="l"/>
        <c:numFmt formatCode="General" sourceLinked="1"/>
        <c:majorTickMark val="none"/>
        <c:minorTickMark val="none"/>
        <c:tickLblPos val="nextTo"/>
        <c:crossAx val="208327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[IPL_Data_Analysis 2008-2025.xlsx]toss decision!toss decision</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Toss</a:t>
            </a:r>
            <a:r>
              <a:rPr lang="en-IN" baseline="0"/>
              <a:t> decision based on winning%</a:t>
            </a:r>
            <a:endParaRPr lang="en-IN"/>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'toss decision'!$B$3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93E-4DDF-8184-D6B74BABECE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93E-4DDF-8184-D6B74BABECE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10</c:v>
                </c:pt>
                <c:pt idx="1">
                  <c:v>50</c:v>
                </c:pt>
              </c:numCache>
            </c:numRef>
          </c:val>
          <c:extLst>
            <c:ext xmlns:c16="http://schemas.microsoft.com/office/drawing/2014/chart" uri="{C3380CC4-5D6E-409C-BE32-E72D297353CC}">
              <c16:uniqueId val="{00000004-893E-4DDF-8184-D6B74BABECE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[IPL_Data_Analysis 2008-2025.xlsx]TOP 10 VENUES!TOP 10 VENUES</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TOP</a:t>
            </a:r>
            <a:r>
              <a:rPr lang="en-IN" baseline="0"/>
              <a:t> 10 VENUES WITH MOST MATCHES &amp; WINNING BASED ON BAT OR BOWL FIRST</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VENUES'!$A$5:$A$14</c:f>
              <c:strCache>
                <c:ptCount val="9"/>
                <c:pt idx="0">
                  <c:v>Dr. Y.S. Rajasekhara Reddy ACA-VDCA Cricket Stadium</c:v>
                </c:pt>
                <c:pt idx="1">
                  <c:v>M.Chinnaswamy Stadium</c:v>
                </c:pt>
                <c:pt idx="2">
                  <c:v>Arun Jaitley Stadium</c:v>
                </c:pt>
                <c:pt idx="3">
                  <c:v>Wankhede Stadium</c:v>
                </c:pt>
                <c:pt idx="4">
                  <c:v>Eden Gardens</c:v>
                </c:pt>
                <c:pt idx="5">
                  <c:v>Punjab Cricket Association IS Bindra Stadium</c:v>
                </c:pt>
                <c:pt idx="6">
                  <c:v>Sawai Mansingh Stadium</c:v>
                </c:pt>
                <c:pt idx="7">
                  <c:v>MA Chidambaram Stadium</c:v>
                </c:pt>
                <c:pt idx="8">
                  <c:v>Rajiv Gandhi International Stadium</c:v>
                </c:pt>
              </c:strCache>
            </c:strRef>
          </c:cat>
          <c:val>
            <c:numRef>
              <c:f>'TOP 10 VENUES'!$B$5:$B$14</c:f>
              <c:numCache>
                <c:formatCode>General</c:formatCode>
                <c:ptCount val="9"/>
                <c:pt idx="2">
                  <c:v>4</c:v>
                </c:pt>
                <c:pt idx="7">
                  <c:v>2</c:v>
                </c:pt>
                <c:pt idx="8">
                  <c:v>3</c:v>
                </c:pt>
              </c:numCache>
            </c:numRef>
          </c:val>
          <c:extLst>
            <c:ext xmlns:c16="http://schemas.microsoft.com/office/drawing/2014/chart" uri="{C3380CC4-5D6E-409C-BE32-E72D297353CC}">
              <c16:uniqueId val="{00000000-7B6C-411E-AE03-981CF99A768F}"/>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VENUES'!$A$5:$A$14</c:f>
              <c:strCache>
                <c:ptCount val="9"/>
                <c:pt idx="0">
                  <c:v>Dr. Y.S. Rajasekhara Reddy ACA-VDCA Cricket Stadium</c:v>
                </c:pt>
                <c:pt idx="1">
                  <c:v>M.Chinnaswamy Stadium</c:v>
                </c:pt>
                <c:pt idx="2">
                  <c:v>Arun Jaitley Stadium</c:v>
                </c:pt>
                <c:pt idx="3">
                  <c:v>Wankhede Stadium</c:v>
                </c:pt>
                <c:pt idx="4">
                  <c:v>Eden Gardens</c:v>
                </c:pt>
                <c:pt idx="5">
                  <c:v>Punjab Cricket Association IS Bindra Stadium</c:v>
                </c:pt>
                <c:pt idx="6">
                  <c:v>Sawai Mansingh Stadium</c:v>
                </c:pt>
                <c:pt idx="7">
                  <c:v>MA Chidambaram Stadium</c:v>
                </c:pt>
                <c:pt idx="8">
                  <c:v>Rajiv Gandhi International Stadium</c:v>
                </c:pt>
              </c:strCache>
            </c:strRef>
          </c:cat>
          <c:val>
            <c:numRef>
              <c:f>'TOP 10 VENUES'!$C$5:$C$14</c:f>
              <c:numCache>
                <c:formatCode>General</c:formatCode>
                <c:ptCount val="9"/>
                <c:pt idx="0">
                  <c:v>2</c:v>
                </c:pt>
                <c:pt idx="1">
                  <c:v>6</c:v>
                </c:pt>
                <c:pt idx="2">
                  <c:v>2</c:v>
                </c:pt>
                <c:pt idx="3">
                  <c:v>6</c:v>
                </c:pt>
                <c:pt idx="4">
                  <c:v>7</c:v>
                </c:pt>
                <c:pt idx="5">
                  <c:v>7</c:v>
                </c:pt>
                <c:pt idx="6">
                  <c:v>7</c:v>
                </c:pt>
                <c:pt idx="7">
                  <c:v>6</c:v>
                </c:pt>
                <c:pt idx="8">
                  <c:v>5</c:v>
                </c:pt>
              </c:numCache>
            </c:numRef>
          </c:val>
          <c:extLst>
            <c:ext xmlns:c16="http://schemas.microsoft.com/office/drawing/2014/chart" uri="{C3380CC4-5D6E-409C-BE32-E72D297353CC}">
              <c16:uniqueId val="{00000001-7B6C-411E-AE03-981CF99A768F}"/>
            </c:ext>
          </c:extLst>
        </c:ser>
        <c:dLbls>
          <c:dLblPos val="ctr"/>
          <c:showLegendKey val="0"/>
          <c:showVal val="1"/>
          <c:showCatName val="0"/>
          <c:showSerName val="0"/>
          <c:showPercent val="0"/>
          <c:showBubbleSize val="0"/>
        </c:dLbls>
        <c:gapWidth val="79"/>
        <c:overlap val="100"/>
        <c:axId val="164097519"/>
        <c:axId val="164098959"/>
      </c:barChart>
      <c:catAx>
        <c:axId val="16409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4098959"/>
        <c:crosses val="autoZero"/>
        <c:auto val="1"/>
        <c:lblAlgn val="ctr"/>
        <c:lblOffset val="100"/>
        <c:noMultiLvlLbl val="0"/>
      </c:catAx>
      <c:valAx>
        <c:axId val="164098959"/>
        <c:scaling>
          <c:orientation val="minMax"/>
        </c:scaling>
        <c:delete val="1"/>
        <c:axPos val="b"/>
        <c:numFmt formatCode="General" sourceLinked="1"/>
        <c:majorTickMark val="none"/>
        <c:minorTickMark val="none"/>
        <c:tickLblPos val="nextTo"/>
        <c:crossAx val="16409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WON</a:t>
            </a:r>
            <a:r>
              <a:rPr lang="en-IN" baseline="0"/>
              <a:t> MOM</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5.2692038495188102E-2"/>
          <c:y val="0.19486111111111112"/>
          <c:w val="0.90286351706036749"/>
          <c:h val="0.67003098571011954"/>
        </c:manualLayout>
      </c:layout>
      <c:barChart>
        <c:barDir val="col"/>
        <c:grouping val="clustered"/>
        <c:varyColors val="0"/>
        <c:ser>
          <c:idx val="0"/>
          <c:order val="0"/>
          <c:tx>
            <c:strRef>
              <c:f>MOM!$E$3</c:f>
              <c:strCache>
                <c:ptCount val="1"/>
                <c:pt idx="0">
                  <c:v>No.of MOM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AD Russell</c:v>
                </c:pt>
                <c:pt idx="1">
                  <c:v>RR Pant</c:v>
                </c:pt>
                <c:pt idx="2">
                  <c:v>MS Dhoni</c:v>
                </c:pt>
                <c:pt idx="3">
                  <c:v>HH Pandya</c:v>
                </c:pt>
                <c:pt idx="4">
                  <c:v>JJ Bumrah</c:v>
                </c:pt>
                <c:pt idx="5">
                  <c:v>AB de Villiers</c:v>
                </c:pt>
                <c:pt idx="6">
                  <c:v>S Dhawan</c:v>
                </c:pt>
                <c:pt idx="7">
                  <c:v>DA Warner</c:v>
                </c:pt>
                <c:pt idx="8">
                  <c:v>JM Bairstow</c:v>
                </c:pt>
                <c:pt idx="9">
                  <c:v>SR Watson</c:v>
                </c:pt>
              </c:strCache>
            </c:strRef>
          </c:cat>
          <c:val>
            <c:numRef>
              <c:f>MOM!$E$4:$E$13</c:f>
              <c:numCache>
                <c:formatCode>General</c:formatCode>
                <c:ptCount val="10"/>
                <c:pt idx="0">
                  <c:v>4</c:v>
                </c:pt>
                <c:pt idx="1">
                  <c:v>3</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00-ECBB-45E3-A7E8-4F3D979E7F04}"/>
            </c:ext>
          </c:extLst>
        </c:ser>
        <c:dLbls>
          <c:dLblPos val="outEnd"/>
          <c:showLegendKey val="0"/>
          <c:showVal val="1"/>
          <c:showCatName val="0"/>
          <c:showSerName val="0"/>
          <c:showPercent val="0"/>
          <c:showBubbleSize val="0"/>
        </c:dLbls>
        <c:gapWidth val="219"/>
        <c:overlap val="-27"/>
        <c:axId val="190255263"/>
        <c:axId val="190255743"/>
      </c:barChart>
      <c:catAx>
        <c:axId val="19025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55743"/>
        <c:crosses val="autoZero"/>
        <c:auto val="1"/>
        <c:lblAlgn val="ctr"/>
        <c:lblOffset val="100"/>
        <c:noMultiLvlLbl val="0"/>
      </c:catAx>
      <c:valAx>
        <c:axId val="19025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5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number of titles won by teams </cx:v>
        </cx:txData>
      </cx:tx>
      <cx:txPr>
        <a:bodyPr spcFirstLastPara="1" vertOverflow="ellipsis" horzOverflow="overflow" wrap="square" lIns="0" tIns="0" rIns="0" bIns="0" anchor="ctr" anchorCtr="1"/>
        <a:lstStyle/>
        <a:p>
          <a:pPr algn="ctr" rtl="0">
            <a:defRPr sz="1400"/>
          </a:pPr>
          <a:r>
            <a:rPr lang="en-US" sz="1400" b="1" i="0" u="none" strike="noStrike" cap="all" baseline="0">
              <a:solidFill>
                <a:sysClr val="windowText" lastClr="000000">
                  <a:lumMod val="65000"/>
                  <a:lumOff val="35000"/>
                </a:sysClr>
              </a:solidFill>
              <a:latin typeface="Calibri" panose="020F0502020204030204"/>
            </a:rPr>
            <a:t>number of titles won by teams </a:t>
          </a:r>
        </a:p>
      </cx:txPr>
    </cx:title>
    <cx:plotArea>
      <cx:plotAreaRegion>
        <cx:series layoutId="treemap" uniqueId="{00000000-7097-4A8D-BB77-10C14350A7EE}">
          <cx:tx>
            <cx:txData>
              <cx:f>_xlchart.v1.1</cx:f>
              <cx:v>Count of Winner</cx:v>
            </cx:txData>
          </cx:tx>
          <cx:dataLabels>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plotArea>
      <cx:plotAreaRegion>
        <cx:series layoutId="treemap" uniqueId="{00000000-7097-4A8D-BB77-10C14350A7EE}">
          <cx:tx>
            <cx:txData>
              <cx:f>_xlchart.v1.4</cx:f>
              <cx:v>Count of Winner</cx:v>
            </cx:txData>
          </cx:tx>
          <cx:dataLabels>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5</xdr:col>
      <xdr:colOff>441959</xdr:colOff>
      <xdr:row>1</xdr:row>
      <xdr:rowOff>106680</xdr:rowOff>
    </xdr:from>
    <xdr:to>
      <xdr:col>16</xdr:col>
      <xdr:colOff>284018</xdr:colOff>
      <xdr:row>31</xdr:row>
      <xdr:rowOff>138545</xdr:rowOff>
    </xdr:to>
    <xdr:graphicFrame macro="">
      <xdr:nvGraphicFramePr>
        <xdr:cNvPr id="2" name="chart1">
          <a:extLst>
            <a:ext uri="{FF2B5EF4-FFF2-40B4-BE49-F238E27FC236}">
              <a16:creationId xmlns:a16="http://schemas.microsoft.com/office/drawing/2014/main" id="{4C968D83-798A-657E-FAA2-AF7B7D0BF8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121920</xdr:colOff>
      <xdr:row>8</xdr:row>
      <xdr:rowOff>45720</xdr:rowOff>
    </xdr:from>
    <xdr:to>
      <xdr:col>11</xdr:col>
      <xdr:colOff>426720</xdr:colOff>
      <xdr:row>23</xdr:row>
      <xdr:rowOff>45720</xdr:rowOff>
    </xdr:to>
    <xdr:graphicFrame macro="">
      <xdr:nvGraphicFramePr>
        <xdr:cNvPr id="2" name="Chart 1">
          <a:extLst>
            <a:ext uri="{FF2B5EF4-FFF2-40B4-BE49-F238E27FC236}">
              <a16:creationId xmlns:a16="http://schemas.microsoft.com/office/drawing/2014/main" id="{90E3685F-FD64-A0AE-8F75-AA94A2614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601980</xdr:colOff>
      <xdr:row>2</xdr:row>
      <xdr:rowOff>160020</xdr:rowOff>
    </xdr:from>
    <xdr:to>
      <xdr:col>15</xdr:col>
      <xdr:colOff>601980</xdr:colOff>
      <xdr:row>36</xdr:row>
      <xdr:rowOff>60960</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a16="http://schemas.microsoft.com/office/drawing/2014/main" id="{083E4FA7-BC4B-0C37-2C7E-E2E571BA27EA}"/>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0553700" y="525780"/>
              <a:ext cx="1828800" cy="6118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167640</xdr:colOff>
      <xdr:row>0</xdr:row>
      <xdr:rowOff>53340</xdr:rowOff>
    </xdr:from>
    <xdr:to>
      <xdr:col>12</xdr:col>
      <xdr:colOff>518160</xdr:colOff>
      <xdr:row>27</xdr:row>
      <xdr:rowOff>175260</xdr:rowOff>
    </xdr:to>
    <xdr:graphicFrame macro="">
      <xdr:nvGraphicFramePr>
        <xdr:cNvPr id="3" name="Chart 2">
          <a:extLst>
            <a:ext uri="{FF2B5EF4-FFF2-40B4-BE49-F238E27FC236}">
              <a16:creationId xmlns:a16="http://schemas.microsoft.com/office/drawing/2014/main" id="{E79246D5-C72B-28FF-336A-2B5F447F75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45720</xdr:colOff>
      <xdr:row>1</xdr:row>
      <xdr:rowOff>129540</xdr:rowOff>
    </xdr:from>
    <xdr:to>
      <xdr:col>12</xdr:col>
      <xdr:colOff>45720</xdr:colOff>
      <xdr:row>31</xdr:row>
      <xdr:rowOff>160020</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22CBFD60-D912-B2CE-FEDE-19D83D529293}"/>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7086600" y="312420"/>
              <a:ext cx="1828800" cy="551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640080</xdr:colOff>
      <xdr:row>14</xdr:row>
      <xdr:rowOff>148590</xdr:rowOff>
    </xdr:from>
    <xdr:to>
      <xdr:col>7</xdr:col>
      <xdr:colOff>251460</xdr:colOff>
      <xdr:row>29</xdr:row>
      <xdr:rowOff>148590</xdr:rowOff>
    </xdr:to>
    <xdr:graphicFrame macro="">
      <xdr:nvGraphicFramePr>
        <xdr:cNvPr id="3" name="Chart 2">
          <a:extLst>
            <a:ext uri="{FF2B5EF4-FFF2-40B4-BE49-F238E27FC236}">
              <a16:creationId xmlns:a16="http://schemas.microsoft.com/office/drawing/2014/main" id="{8DC30DA6-41ED-20CC-D98C-C8833C1D99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281940</xdr:colOff>
      <xdr:row>0</xdr:row>
      <xdr:rowOff>0</xdr:rowOff>
    </xdr:from>
    <xdr:to>
      <xdr:col>16</xdr:col>
      <xdr:colOff>281940</xdr:colOff>
      <xdr:row>18</xdr:row>
      <xdr:rowOff>76200</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34571526-DC4B-7190-5B3E-048C06AA226D}"/>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3258800" y="0"/>
              <a:ext cx="1828800" cy="5440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60960</xdr:colOff>
      <xdr:row>1</xdr:row>
      <xdr:rowOff>7620</xdr:rowOff>
    </xdr:from>
    <xdr:to>
      <xdr:col>3</xdr:col>
      <xdr:colOff>358140</xdr:colOff>
      <xdr:row>4</xdr:row>
      <xdr:rowOff>68580</xdr:rowOff>
    </xdr:to>
    <xdr:sp macro="" textlink="">
      <xdr:nvSpPr>
        <xdr:cNvPr id="3" name="Rectangle: Rounded Corners 2">
          <a:extLst>
            <a:ext uri="{FF2B5EF4-FFF2-40B4-BE49-F238E27FC236}">
              <a16:creationId xmlns:a16="http://schemas.microsoft.com/office/drawing/2014/main" id="{6171852B-F9D1-4C29-35FD-CEB030AD7952}"/>
            </a:ext>
          </a:extLst>
        </xdr:cNvPr>
        <xdr:cNvSpPr/>
      </xdr:nvSpPr>
      <xdr:spPr>
        <a:xfrm>
          <a:off x="60960" y="190500"/>
          <a:ext cx="2125980" cy="60960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1200"/>
            <a:t>IPL</a:t>
          </a:r>
          <a:r>
            <a:rPr lang="en-IN" sz="1400"/>
            <a:t> </a:t>
          </a:r>
          <a:r>
            <a:rPr lang="en-IN" sz="1200"/>
            <a:t>DATA</a:t>
          </a:r>
          <a:r>
            <a:rPr lang="en-IN" sz="1400" baseline="0"/>
            <a:t> </a:t>
          </a:r>
          <a:r>
            <a:rPr lang="en-IN" sz="1200" baseline="0"/>
            <a:t>ANALYSIS</a:t>
          </a:r>
        </a:p>
        <a:p>
          <a:pPr algn="ctr"/>
          <a:r>
            <a:rPr lang="en-IN" sz="1400" baseline="0"/>
            <a:t> 2008-2025</a:t>
          </a:r>
          <a:endParaRPr lang="en-IN" sz="1400"/>
        </a:p>
      </xdr:txBody>
    </xdr:sp>
    <xdr:clientData/>
  </xdr:twoCellAnchor>
  <xdr:twoCellAnchor>
    <xdr:from>
      <xdr:col>4</xdr:col>
      <xdr:colOff>7620</xdr:colOff>
      <xdr:row>1</xdr:row>
      <xdr:rowOff>7620</xdr:rowOff>
    </xdr:from>
    <xdr:to>
      <xdr:col>6</xdr:col>
      <xdr:colOff>571500</xdr:colOff>
      <xdr:row>3</xdr:row>
      <xdr:rowOff>91440</xdr:rowOff>
    </xdr:to>
    <xdr:sp macro="" textlink="KPI!E2">
      <xdr:nvSpPr>
        <xdr:cNvPr id="4" name="Arrow: Pentagon 3">
          <a:extLst>
            <a:ext uri="{FF2B5EF4-FFF2-40B4-BE49-F238E27FC236}">
              <a16:creationId xmlns:a16="http://schemas.microsoft.com/office/drawing/2014/main" id="{264B7A80-A591-62D6-D47A-A4379E49BF31}"/>
            </a:ext>
          </a:extLst>
        </xdr:cNvPr>
        <xdr:cNvSpPr/>
      </xdr:nvSpPr>
      <xdr:spPr>
        <a:xfrm>
          <a:off x="2446020" y="190500"/>
          <a:ext cx="1783080" cy="449580"/>
        </a:xfrm>
        <a:prstGeom prst="homePlate">
          <a:avLst/>
        </a:prstGeom>
        <a:solidFill>
          <a:schemeClr val="accent2"/>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fld id="{50C73F10-434D-4BAD-8CFF-C309FA548F83}" type="TxLink">
            <a:rPr lang="en-US" sz="1400" b="1" i="0" u="none" strike="noStrike">
              <a:solidFill>
                <a:srgbClr val="FFFFFF"/>
              </a:solidFill>
              <a:latin typeface="Calibri"/>
              <a:ea typeface="Calibri"/>
              <a:cs typeface="Calibri"/>
            </a:rPr>
            <a:pPr algn="ctr"/>
            <a:t>Year</a:t>
          </a:fld>
          <a:endParaRPr lang="en-US" sz="1400" b="1" u="none"/>
        </a:p>
      </xdr:txBody>
    </xdr:sp>
    <xdr:clientData/>
  </xdr:twoCellAnchor>
  <xdr:twoCellAnchor>
    <xdr:from>
      <xdr:col>4</xdr:col>
      <xdr:colOff>563880</xdr:colOff>
      <xdr:row>3</xdr:row>
      <xdr:rowOff>22860</xdr:rowOff>
    </xdr:from>
    <xdr:to>
      <xdr:col>7</xdr:col>
      <xdr:colOff>7620</xdr:colOff>
      <xdr:row>6</xdr:row>
      <xdr:rowOff>22860</xdr:rowOff>
    </xdr:to>
    <xdr:sp macro="" textlink="KPI!E3">
      <xdr:nvSpPr>
        <xdr:cNvPr id="5" name="Rectangle: Rounded Corners 4">
          <a:extLst>
            <a:ext uri="{FF2B5EF4-FFF2-40B4-BE49-F238E27FC236}">
              <a16:creationId xmlns:a16="http://schemas.microsoft.com/office/drawing/2014/main" id="{A732F38B-F34E-BE37-5AD2-6C8523DF8092}"/>
            </a:ext>
          </a:extLst>
        </xdr:cNvPr>
        <xdr:cNvSpPr/>
      </xdr:nvSpPr>
      <xdr:spPr>
        <a:xfrm>
          <a:off x="3002280" y="571500"/>
          <a:ext cx="1272540" cy="5486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0BE975CF-65AD-44D8-B219-0879FF6FFC0E}" type="TxLink">
            <a:rPr lang="en-US" sz="1100" b="0" i="0" u="none" strike="noStrike">
              <a:solidFill>
                <a:srgbClr val="000000"/>
              </a:solidFill>
              <a:latin typeface="Calibri"/>
              <a:ea typeface="Calibri"/>
              <a:cs typeface="Calibri"/>
            </a:rPr>
            <a:pPr algn="l"/>
            <a:t>IPL-2019</a:t>
          </a:fld>
          <a:endParaRPr lang="en-IN" sz="1100"/>
        </a:p>
      </xdr:txBody>
    </xdr:sp>
    <xdr:clientData/>
  </xdr:twoCellAnchor>
  <xdr:twoCellAnchor>
    <xdr:from>
      <xdr:col>7</xdr:col>
      <xdr:colOff>320040</xdr:colOff>
      <xdr:row>1</xdr:row>
      <xdr:rowOff>0</xdr:rowOff>
    </xdr:from>
    <xdr:to>
      <xdr:col>10</xdr:col>
      <xdr:colOff>274320</xdr:colOff>
      <xdr:row>3</xdr:row>
      <xdr:rowOff>83820</xdr:rowOff>
    </xdr:to>
    <xdr:sp macro="" textlink="">
      <xdr:nvSpPr>
        <xdr:cNvPr id="6" name="Arrow: Pentagon 5">
          <a:extLst>
            <a:ext uri="{FF2B5EF4-FFF2-40B4-BE49-F238E27FC236}">
              <a16:creationId xmlns:a16="http://schemas.microsoft.com/office/drawing/2014/main" id="{4488EB39-FEA9-42EA-8782-5F236730B101}"/>
            </a:ext>
          </a:extLst>
        </xdr:cNvPr>
        <xdr:cNvSpPr/>
      </xdr:nvSpPr>
      <xdr:spPr>
        <a:xfrm>
          <a:off x="4587240" y="182880"/>
          <a:ext cx="1783080" cy="44958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1400"/>
            <a:t>Winner</a:t>
          </a:r>
        </a:p>
      </xdr:txBody>
    </xdr:sp>
    <xdr:clientData/>
  </xdr:twoCellAnchor>
  <xdr:twoCellAnchor>
    <xdr:from>
      <xdr:col>8</xdr:col>
      <xdr:colOff>114300</xdr:colOff>
      <xdr:row>3</xdr:row>
      <xdr:rowOff>38100</xdr:rowOff>
    </xdr:from>
    <xdr:to>
      <xdr:col>10</xdr:col>
      <xdr:colOff>167640</xdr:colOff>
      <xdr:row>6</xdr:row>
      <xdr:rowOff>38100</xdr:rowOff>
    </xdr:to>
    <xdr:sp macro="" textlink="KPI!F3">
      <xdr:nvSpPr>
        <xdr:cNvPr id="7" name="Rectangle: Rounded Corners 6">
          <a:extLst>
            <a:ext uri="{FF2B5EF4-FFF2-40B4-BE49-F238E27FC236}">
              <a16:creationId xmlns:a16="http://schemas.microsoft.com/office/drawing/2014/main" id="{AB795E2D-C3F5-415E-B4B3-AE69F941448A}"/>
            </a:ext>
          </a:extLst>
        </xdr:cNvPr>
        <xdr:cNvSpPr/>
      </xdr:nvSpPr>
      <xdr:spPr>
        <a:xfrm>
          <a:off x="4991100" y="586740"/>
          <a:ext cx="1272540" cy="5486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7DC4B0BD-4DF9-4154-B044-EB0B6B827A54}" type="TxLink">
            <a:rPr lang="en-US" sz="1100" b="0" i="0" u="none" strike="noStrike">
              <a:solidFill>
                <a:srgbClr val="000000"/>
              </a:solidFill>
              <a:latin typeface="Calibri"/>
              <a:ea typeface="Calibri"/>
              <a:cs typeface="Calibri"/>
            </a:rPr>
            <a:pPr algn="l"/>
            <a:t>Mumbai Indians</a:t>
          </a:fld>
          <a:endParaRPr lang="en-IN" sz="1100"/>
        </a:p>
      </xdr:txBody>
    </xdr:sp>
    <xdr:clientData/>
  </xdr:twoCellAnchor>
  <xdr:twoCellAnchor>
    <xdr:from>
      <xdr:col>10</xdr:col>
      <xdr:colOff>541020</xdr:colOff>
      <xdr:row>1</xdr:row>
      <xdr:rowOff>7620</xdr:rowOff>
    </xdr:from>
    <xdr:to>
      <xdr:col>13</xdr:col>
      <xdr:colOff>495300</xdr:colOff>
      <xdr:row>3</xdr:row>
      <xdr:rowOff>91440</xdr:rowOff>
    </xdr:to>
    <xdr:sp macro="" textlink="">
      <xdr:nvSpPr>
        <xdr:cNvPr id="8" name="Arrow: Pentagon 7">
          <a:extLst>
            <a:ext uri="{FF2B5EF4-FFF2-40B4-BE49-F238E27FC236}">
              <a16:creationId xmlns:a16="http://schemas.microsoft.com/office/drawing/2014/main" id="{B351BF12-18F5-47D7-83DD-9A709197BE12}"/>
            </a:ext>
          </a:extLst>
        </xdr:cNvPr>
        <xdr:cNvSpPr/>
      </xdr:nvSpPr>
      <xdr:spPr>
        <a:xfrm>
          <a:off x="6637020" y="190500"/>
          <a:ext cx="1783080" cy="44958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1400"/>
            <a:t>Runner-up</a:t>
          </a:r>
        </a:p>
      </xdr:txBody>
    </xdr:sp>
    <xdr:clientData/>
  </xdr:twoCellAnchor>
  <xdr:twoCellAnchor>
    <xdr:from>
      <xdr:col>11</xdr:col>
      <xdr:colOff>358140</xdr:colOff>
      <xdr:row>3</xdr:row>
      <xdr:rowOff>68580</xdr:rowOff>
    </xdr:from>
    <xdr:to>
      <xdr:col>13</xdr:col>
      <xdr:colOff>411480</xdr:colOff>
      <xdr:row>6</xdr:row>
      <xdr:rowOff>68580</xdr:rowOff>
    </xdr:to>
    <xdr:sp macro="" textlink="KPI!G3">
      <xdr:nvSpPr>
        <xdr:cNvPr id="9" name="Rectangle: Rounded Corners 8">
          <a:extLst>
            <a:ext uri="{FF2B5EF4-FFF2-40B4-BE49-F238E27FC236}">
              <a16:creationId xmlns:a16="http://schemas.microsoft.com/office/drawing/2014/main" id="{F17BE1B9-25AA-4019-83CA-97995FF65287}"/>
            </a:ext>
          </a:extLst>
        </xdr:cNvPr>
        <xdr:cNvSpPr/>
      </xdr:nvSpPr>
      <xdr:spPr>
        <a:xfrm>
          <a:off x="7063740" y="617220"/>
          <a:ext cx="1272540" cy="5486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CAEDAB2D-2172-445C-9FB2-69C805B1C2A0}" type="TxLink">
            <a:rPr lang="en-US" sz="1100" b="0" i="0" u="none" strike="noStrike">
              <a:solidFill>
                <a:srgbClr val="000000"/>
              </a:solidFill>
              <a:latin typeface="Calibri"/>
              <a:ea typeface="Calibri"/>
              <a:cs typeface="Calibri"/>
            </a:rPr>
            <a:pPr algn="l"/>
            <a:t>Chennai Super Kings</a:t>
          </a:fld>
          <a:endParaRPr lang="en-IN" sz="1100"/>
        </a:p>
      </xdr:txBody>
    </xdr:sp>
    <xdr:clientData/>
  </xdr:twoCellAnchor>
  <xdr:twoCellAnchor>
    <xdr:from>
      <xdr:col>14</xdr:col>
      <xdr:colOff>45720</xdr:colOff>
      <xdr:row>1</xdr:row>
      <xdr:rowOff>0</xdr:rowOff>
    </xdr:from>
    <xdr:to>
      <xdr:col>17</xdr:col>
      <xdr:colOff>0</xdr:colOff>
      <xdr:row>3</xdr:row>
      <xdr:rowOff>83820</xdr:rowOff>
    </xdr:to>
    <xdr:sp macro="" textlink="">
      <xdr:nvSpPr>
        <xdr:cNvPr id="10" name="Arrow: Pentagon 9">
          <a:extLst>
            <a:ext uri="{FF2B5EF4-FFF2-40B4-BE49-F238E27FC236}">
              <a16:creationId xmlns:a16="http://schemas.microsoft.com/office/drawing/2014/main" id="{B65E0300-C5D1-4ACC-89E6-4F1E53687677}"/>
            </a:ext>
          </a:extLst>
        </xdr:cNvPr>
        <xdr:cNvSpPr/>
      </xdr:nvSpPr>
      <xdr:spPr>
        <a:xfrm>
          <a:off x="8580120" y="182880"/>
          <a:ext cx="1783080" cy="44958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1100"/>
            <a:t>Player</a:t>
          </a:r>
          <a:r>
            <a:rPr lang="en-IN" sz="1100" baseline="0"/>
            <a:t> of the Season(Final)</a:t>
          </a:r>
          <a:endParaRPr lang="en-IN" sz="1100"/>
        </a:p>
      </xdr:txBody>
    </xdr:sp>
    <xdr:clientData/>
  </xdr:twoCellAnchor>
  <xdr:twoCellAnchor>
    <xdr:from>
      <xdr:col>14</xdr:col>
      <xdr:colOff>571500</xdr:colOff>
      <xdr:row>3</xdr:row>
      <xdr:rowOff>38100</xdr:rowOff>
    </xdr:from>
    <xdr:to>
      <xdr:col>17</xdr:col>
      <xdr:colOff>15240</xdr:colOff>
      <xdr:row>6</xdr:row>
      <xdr:rowOff>38100</xdr:rowOff>
    </xdr:to>
    <xdr:sp macro="" textlink="KPI!I3">
      <xdr:nvSpPr>
        <xdr:cNvPr id="11" name="Rectangle: Rounded Corners 10">
          <a:extLst>
            <a:ext uri="{FF2B5EF4-FFF2-40B4-BE49-F238E27FC236}">
              <a16:creationId xmlns:a16="http://schemas.microsoft.com/office/drawing/2014/main" id="{0CEDDC60-54BA-42E5-AE67-CC4950783638}"/>
            </a:ext>
          </a:extLst>
        </xdr:cNvPr>
        <xdr:cNvSpPr/>
      </xdr:nvSpPr>
      <xdr:spPr>
        <a:xfrm>
          <a:off x="9105900" y="586740"/>
          <a:ext cx="1272540" cy="5486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C9B7A0F3-AE87-46BA-B38B-0EEE6C6D6AFE}" type="TxLink">
            <a:rPr lang="en-US" sz="1100" b="0" i="0" u="none" strike="noStrike">
              <a:solidFill>
                <a:srgbClr val="000000"/>
              </a:solidFill>
              <a:latin typeface="Calibri"/>
              <a:ea typeface="Calibri"/>
              <a:cs typeface="Calibri"/>
            </a:rPr>
            <a:pPr algn="l"/>
            <a:t>Andre Russell</a:t>
          </a:fld>
          <a:endParaRPr lang="en-IN" sz="1100"/>
        </a:p>
      </xdr:txBody>
    </xdr:sp>
    <xdr:clientData/>
  </xdr:twoCellAnchor>
  <xdr:twoCellAnchor editAs="oneCell">
    <xdr:from>
      <xdr:col>0</xdr:col>
      <xdr:colOff>0</xdr:colOff>
      <xdr:row>6</xdr:row>
      <xdr:rowOff>83820</xdr:rowOff>
    </xdr:from>
    <xdr:to>
      <xdr:col>19</xdr:col>
      <xdr:colOff>68580</xdr:colOff>
      <xdr:row>13</xdr:row>
      <xdr:rowOff>121920</xdr:rowOff>
    </xdr:to>
    <mc:AlternateContent xmlns:mc="http://schemas.openxmlformats.org/markup-compatibility/2006" xmlns:a14="http://schemas.microsoft.com/office/drawing/2010/main">
      <mc:Choice Requires="a14">
        <xdr:graphicFrame macro="">
          <xdr:nvGraphicFramePr>
            <xdr:cNvPr id="12" name="season 3">
              <a:extLst>
                <a:ext uri="{FF2B5EF4-FFF2-40B4-BE49-F238E27FC236}">
                  <a16:creationId xmlns:a16="http://schemas.microsoft.com/office/drawing/2014/main" id="{62F9A212-3EFC-4EE5-9706-0951A5A22C60}"/>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0" y="1181100"/>
              <a:ext cx="1165098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xdr:colOff>
      <xdr:row>14</xdr:row>
      <xdr:rowOff>22860</xdr:rowOff>
    </xdr:from>
    <xdr:to>
      <xdr:col>9</xdr:col>
      <xdr:colOff>563880</xdr:colOff>
      <xdr:row>34</xdr:row>
      <xdr:rowOff>53340</xdr:rowOff>
    </xdr:to>
    <xdr:graphicFrame macro="">
      <xdr:nvGraphicFramePr>
        <xdr:cNvPr id="13" name="chart1">
          <a:extLst>
            <a:ext uri="{FF2B5EF4-FFF2-40B4-BE49-F238E27FC236}">
              <a16:creationId xmlns:a16="http://schemas.microsoft.com/office/drawing/2014/main" id="{F7A5C083-B924-4A9D-8F65-0AF110B8F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563880</xdr:colOff>
      <xdr:row>13</xdr:row>
      <xdr:rowOff>144780</xdr:rowOff>
    </xdr:from>
    <xdr:to>
      <xdr:col>13</xdr:col>
      <xdr:colOff>464820</xdr:colOff>
      <xdr:row>34</xdr:row>
      <xdr:rowOff>45720</xdr:rowOff>
    </xdr:to>
    <xdr:graphicFrame macro="">
      <xdr:nvGraphicFramePr>
        <xdr:cNvPr id="14" name="Chart 13">
          <a:extLst>
            <a:ext uri="{FF2B5EF4-FFF2-40B4-BE49-F238E27FC236}">
              <a16:creationId xmlns:a16="http://schemas.microsoft.com/office/drawing/2014/main" id="{D1033A00-C77E-4357-84FF-F4CAC5D79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464820</xdr:colOff>
      <xdr:row>13</xdr:row>
      <xdr:rowOff>106680</xdr:rowOff>
    </xdr:from>
    <xdr:to>
      <xdr:col>20</xdr:col>
      <xdr:colOff>236220</xdr:colOff>
      <xdr:row>45</xdr:row>
      <xdr:rowOff>129540</xdr:rowOff>
    </xdr:to>
    <xdr:graphicFrame macro="">
      <xdr:nvGraphicFramePr>
        <xdr:cNvPr id="15" name="Chart 14">
          <a:extLst>
            <a:ext uri="{FF2B5EF4-FFF2-40B4-BE49-F238E27FC236}">
              <a16:creationId xmlns:a16="http://schemas.microsoft.com/office/drawing/2014/main" id="{DDF3602C-4B17-473A-BB24-50D221789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144780</xdr:colOff>
      <xdr:row>34</xdr:row>
      <xdr:rowOff>114300</xdr:rowOff>
    </xdr:from>
    <xdr:to>
      <xdr:col>13</xdr:col>
      <xdr:colOff>449580</xdr:colOff>
      <xdr:row>47</xdr:row>
      <xdr:rowOff>129540</xdr:rowOff>
    </xdr:to>
    <xdr:graphicFrame macro="">
      <xdr:nvGraphicFramePr>
        <xdr:cNvPr id="16" name="Chart 15">
          <a:extLst>
            <a:ext uri="{FF2B5EF4-FFF2-40B4-BE49-F238E27FC236}">
              <a16:creationId xmlns:a16="http://schemas.microsoft.com/office/drawing/2014/main" id="{B219EFB1-601D-4B14-B341-80467B84F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34</xdr:row>
      <xdr:rowOff>99060</xdr:rowOff>
    </xdr:from>
    <xdr:to>
      <xdr:col>6</xdr:col>
      <xdr:colOff>45720</xdr:colOff>
      <xdr:row>48</xdr:row>
      <xdr:rowOff>53340</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C795B2D4-C18E-47A4-AA63-D124C8F1BD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6316980"/>
              <a:ext cx="3703320" cy="2514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304800</xdr:colOff>
      <xdr:row>13</xdr:row>
      <xdr:rowOff>60960</xdr:rowOff>
    </xdr:from>
    <xdr:to>
      <xdr:col>6</xdr:col>
      <xdr:colOff>510540</xdr:colOff>
      <xdr:row>30</xdr:row>
      <xdr:rowOff>171450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C7CC017-33B2-1469-B51B-A18A1CC01C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4800" y="2438400"/>
              <a:ext cx="6774180" cy="3219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h reddy" refreshedDate="46185.734591319444" createdVersion="8" refreshedVersion="8" minRefreshableVersion="3" recordCount="1169" xr:uid="{C4911AF9-3EDC-4602-9CA9-5A47A4463473}">
  <cacheSource type="worksheet">
    <worksheetSource name="IPL"/>
  </cacheSource>
  <cacheFields count="11">
    <cacheField name="team1" numFmtId="0">
      <sharedItems/>
    </cacheField>
    <cacheField name="team2" numFmtId="0">
      <sharedItems/>
    </cacheField>
    <cacheField name="season" numFmtId="0">
      <sharedItems count="18">
        <s v="IPL-2008"/>
        <s v="IPL-2009"/>
        <s v="IPL-2010"/>
        <s v="IPL-2011"/>
        <s v="IPL-2012"/>
        <s v="IPL-2013"/>
        <s v="IPL-2014"/>
        <s v="IPL-2015"/>
        <s v="IPL-2016"/>
        <s v="IPL-2017"/>
        <s v="IPL-2018"/>
        <s v="IPL-2019"/>
        <s v="IPL-2020"/>
        <s v="IPL-2021"/>
        <s v="IPL-2022"/>
        <s v="IPL-2023"/>
        <s v="IPL-2024"/>
        <s v="IPL-2025"/>
      </sharedItems>
    </cacheField>
    <cacheField name="year" numFmtId="0">
      <sharedItems containsSemiMixedTypes="0" containsString="0" containsNumber="1" containsInteger="1" minValue="2008" maxValue="2025"/>
    </cacheField>
    <cacheField name="match_date" numFmtId="14">
      <sharedItems containsSemiMixedTypes="0" containsNonDate="0" containsDate="1" containsString="0" minDate="2008-04-18T00:00:00" maxDate="2025-06-04T00:00:00"/>
    </cacheField>
    <cacheField name="toss_winner" numFmtId="0">
      <sharedItems/>
    </cacheField>
    <cacheField name="toss_decision" numFmtId="0">
      <sharedItems count="2">
        <s v="field"/>
        <s v="bat"/>
      </sharedItems>
    </cacheField>
    <cacheField name="result" numFmtId="0">
      <sharedItems count="2">
        <s v="LOSS"/>
        <s v="WIN"/>
      </sharedItems>
    </cacheField>
    <cacheField name="winner" numFmtId="0">
      <sharedItems containsBlank="1" count="20">
        <s v="Kolkata Knight Riders"/>
        <s v="Chennai Super Kings"/>
        <s v="Delhi Daredevils"/>
        <s v="Royal Challengers Bangalore"/>
        <s v="Rajasthan Royals"/>
        <s v="Kings XI Punjab"/>
        <s v="Deccan Chargers"/>
        <s v="Mumbai Indians"/>
        <m/>
        <s v="Pune Warriors"/>
        <s v="Kochi Tuskers Kerala"/>
        <s v="Sunrisers Hyderabad"/>
        <s v="Rising Pune Supergiants"/>
        <s v="Gujarat Lions"/>
        <s v="Rising Pune Supergiant"/>
        <s v="Delhi Capitals"/>
        <s v="Punjab Kings"/>
        <s v="Gujarat Titans"/>
        <s v="Lucknow Super Giants"/>
        <s v="Royal Challengers Bengaluru"/>
      </sharedItems>
    </cacheField>
    <cacheField name="player_of_match" numFmtId="0">
      <sharedItems count="309">
        <s v="BB McCullum"/>
        <s v="MEK Hussey"/>
        <s v="MF Maharoof"/>
        <s v="MV Boucher"/>
        <s v="DJ Hussey"/>
        <s v="SR Watson"/>
        <s v="V Sehwag"/>
        <s v="ML Hayden"/>
        <s v="YK Pathan"/>
        <s v="KC Sangakkara"/>
        <s v="JDP Oram"/>
        <s v="AC Gilchrist"/>
        <s v="SM Katich"/>
        <s v="MS Dhoni"/>
        <s v="ST Jayasuriya"/>
        <s v="GD McGrath"/>
        <s v="SA Asnodkar"/>
        <s v="SE Marsh"/>
        <s v="P Kumar"/>
        <s v="IK Pathan"/>
        <s v="Sohail Tanvir"/>
        <s v="SM Pollock"/>
        <s v="S Sreesanth"/>
        <s v="A Nehra"/>
        <s v="SC Ganguly"/>
        <s v="L Balaji"/>
        <s v="Shoaib Akhtar"/>
        <s v="A Mishra"/>
        <s v="DPMD Jayawardene"/>
        <s v="GC Smith"/>
        <s v="DJ Bravo"/>
        <s v="M Ntini"/>
        <s v="SP Goswami"/>
        <s v="A Kumble"/>
        <s v="JA Morkel"/>
        <s v="KD Karthik"/>
        <s v="Umar Gul"/>
        <s v="R Vinay Kumar"/>
        <s v="SK Raina"/>
        <s v="CRD Fernando"/>
        <s v="R Dravid"/>
        <s v="SR Tendulkar"/>
        <s v="RP Singh"/>
        <s v="DL Vettori"/>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R Ashwin"/>
        <s v="KA Pollard"/>
        <s v="R McLaren"/>
        <s v="JD Unadkat"/>
        <s v="M Kartik"/>
        <s v="DE Bollinger"/>
        <s v="S Anirudha"/>
        <s v="SK Trivedi"/>
        <s v="SB Wagh"/>
        <s v="MD Mishra"/>
        <s v="PC Valthaty"/>
        <s v="DW Steyn"/>
        <s v="S Sohal"/>
        <s v="MM Patel"/>
        <s v="V Kohli"/>
        <s v="I Sharma"/>
        <s v="J Botha"/>
        <s v="Iqbal Abdulla"/>
        <s v="P Parameswaran"/>
        <s v="R Sharma"/>
        <s v="BA Bhatt"/>
        <s v="MR Marsh"/>
        <s v="S Aravind"/>
        <s v="WP Saha"/>
        <s v="S Dhawan"/>
        <s v="N"/>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GH Vihari"/>
        <s v="M Vohra"/>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GJ Bailey"/>
        <s v="DJ Hooda"/>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KMA Paul"/>
        <s v="Imran Tahir"/>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PD Salt"/>
        <s v="M Pathirana"/>
        <s v="GD Phillips"/>
        <s v="P Simran Singh"/>
        <s v="PN Mankad"/>
        <s v="WD Parnell"/>
        <s v="RR Rossouw"/>
        <s v="Akash Madhwal"/>
        <s v="MP Yadav"/>
        <s v="Shashank Singh"/>
        <s v="Yash Thakur"/>
        <s v="R Shepherd"/>
        <s v="Nithish Kumar Reddy"/>
        <s v="TM Head"/>
        <s v="R Sai Kishore"/>
        <s v="J Fraser-McGurk"/>
        <s v="WG Jacks"/>
        <s v="Simarjeet Singh"/>
        <s v="Shahbaz Ahmed"/>
        <s v="Noor Ahmad"/>
        <s v="Ashutosh Sharma"/>
        <s v="M Prasidh Krishna"/>
        <s v="Ashwani Kumar"/>
        <s v="VG Arora"/>
        <s v="DS Rathi"/>
        <s v="Priyansh Arya"/>
        <s v="AK Markram"/>
        <s v="Mukesh Kumar"/>
        <s v="V Suryavanshi"/>
        <s v="RD Rickelton"/>
        <s v="Sameer Rizvi"/>
        <s v="H Klaasen"/>
        <s v="D Brevis"/>
        <s v="JP Inglis"/>
        <s v="JM Sharma"/>
        <s v="Suyash Sharma"/>
      </sharedItems>
    </cacheField>
    <cacheField name="venue" numFmtId="0">
      <sharedItems count="59">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Wankhede Stadium, Mumbai"/>
        <s v="Narendra Modi Stadium, Ahmedabad"/>
        <s v="Arun Jaitley Stadium, Delhi"/>
        <s v="Zayed Cricket Stadium, Abu Dhab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 v="Maharaja Yadavindra Singh International Cricket Stadium, New Chandigarh"/>
      </sharedItems>
    </cacheField>
  </cacheFields>
  <extLst>
    <ext xmlns:x14="http://schemas.microsoft.com/office/spreadsheetml/2009/9/main" uri="{725AE2AE-9491-48be-B2B4-4EB974FC3084}">
      <x14:pivotCacheDefinition pivotCacheId="1580521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h reddy" refreshedDate="46185.779077430554" createdVersion="8" refreshedVersion="8" minRefreshableVersion="3" recordCount="18" xr:uid="{DEF13CF4-4840-42EE-B77A-7D383238E00B}">
  <cacheSource type="worksheet">
    <worksheetSource name="winners"/>
  </cacheSource>
  <cacheFields count="5">
    <cacheField name="Year" numFmtId="0">
      <sharedItems containsSemiMixedTypes="0" containsString="0" containsNumber="1" containsInteger="1" minValue="2008" maxValue="2025"/>
    </cacheField>
    <cacheField name="Winner" numFmtId="0">
      <sharedItems count="8">
        <s v="Rajasthan Royals"/>
        <s v="Deccan Chargers"/>
        <s v="Chennai Super Kings"/>
        <s v="Kolkata Knight Riders"/>
        <s v="Mumbai Indians"/>
        <s v="Sunrisers Hyderabad"/>
        <s v="Gujarat Titans"/>
        <s v="Royal Challengers Bengaluru"/>
      </sharedItems>
    </cacheField>
    <cacheField name="Runner-up" numFmtId="0">
      <sharedItems/>
    </cacheField>
    <cacheField name="Player of the Match (Final)" numFmtId="0">
      <sharedItems/>
    </cacheField>
    <cacheField name="Player of the Season (MVP)"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s v="Royal Challengers Bangalore"/>
    <s v="Kolkata Knight Riders"/>
    <x v="0"/>
    <n v="2008"/>
    <d v="2008-04-18T00:00:00"/>
    <s v="Royal Challengers Bangalore"/>
    <x v="0"/>
    <x v="0"/>
    <x v="0"/>
    <x v="0"/>
    <x v="0"/>
  </r>
  <r>
    <s v="Kings XI Punjab"/>
    <s v="Chennai Super Kings"/>
    <x v="0"/>
    <n v="2008"/>
    <d v="2008-04-19T00:00:00"/>
    <s v="Chennai Super Kings"/>
    <x v="1"/>
    <x v="1"/>
    <x v="1"/>
    <x v="1"/>
    <x v="1"/>
  </r>
  <r>
    <s v="Delhi Daredevils"/>
    <s v="Rajasthan Royals"/>
    <x v="0"/>
    <n v="2008"/>
    <d v="2008-04-19T00:00:00"/>
    <s v="Rajasthan Royals"/>
    <x v="1"/>
    <x v="0"/>
    <x v="2"/>
    <x v="2"/>
    <x v="2"/>
  </r>
  <r>
    <s v="Mumbai Indians"/>
    <s v="Royal Challengers Bangalore"/>
    <x v="0"/>
    <n v="2008"/>
    <d v="2008-04-20T00:00:00"/>
    <s v="Mumbai Indians"/>
    <x v="1"/>
    <x v="0"/>
    <x v="3"/>
    <x v="3"/>
    <x v="3"/>
  </r>
  <r>
    <s v="Kolkata Knight Riders"/>
    <s v="Deccan Chargers"/>
    <x v="0"/>
    <n v="2008"/>
    <d v="2008-04-20T00:00:00"/>
    <s v="Deccan Chargers"/>
    <x v="1"/>
    <x v="0"/>
    <x v="0"/>
    <x v="4"/>
    <x v="4"/>
  </r>
  <r>
    <s v="Rajasthan Royals"/>
    <s v="Kings XI Punjab"/>
    <x v="0"/>
    <n v="2008"/>
    <d v="2008-04-21T00:00:00"/>
    <s v="Kings XI Punjab"/>
    <x v="1"/>
    <x v="0"/>
    <x v="4"/>
    <x v="5"/>
    <x v="5"/>
  </r>
  <r>
    <s v="Deccan Chargers"/>
    <s v="Delhi Daredevils"/>
    <x v="0"/>
    <n v="2008"/>
    <d v="2008-04-22T00:00:00"/>
    <s v="Deccan Chargers"/>
    <x v="1"/>
    <x v="0"/>
    <x v="2"/>
    <x v="6"/>
    <x v="6"/>
  </r>
  <r>
    <s v="Chennai Super Kings"/>
    <s v="Mumbai Indians"/>
    <x v="0"/>
    <n v="2008"/>
    <d v="2008-04-23T00:00:00"/>
    <s v="Mumbai Indians"/>
    <x v="0"/>
    <x v="0"/>
    <x v="1"/>
    <x v="7"/>
    <x v="7"/>
  </r>
  <r>
    <s v="Deccan Chargers"/>
    <s v="Rajasthan Royals"/>
    <x v="0"/>
    <n v="2008"/>
    <d v="2008-04-24T00:00:00"/>
    <s v="Rajasthan Royals"/>
    <x v="0"/>
    <x v="1"/>
    <x v="4"/>
    <x v="8"/>
    <x v="6"/>
  </r>
  <r>
    <s v="Kings XI Punjab"/>
    <s v="Mumbai Indians"/>
    <x v="0"/>
    <n v="2008"/>
    <d v="2008-04-25T00:00:00"/>
    <s v="Mumbai Indians"/>
    <x v="0"/>
    <x v="0"/>
    <x v="5"/>
    <x v="9"/>
    <x v="1"/>
  </r>
  <r>
    <s v="Chennai Super Kings"/>
    <s v="Kolkata Knight Riders"/>
    <x v="0"/>
    <n v="2008"/>
    <d v="2008-04-26T00:00:00"/>
    <s v="Kolkata Knight Riders"/>
    <x v="1"/>
    <x v="0"/>
    <x v="1"/>
    <x v="10"/>
    <x v="7"/>
  </r>
  <r>
    <s v="Royal Challengers Bangalore"/>
    <s v="Rajasthan Royals"/>
    <x v="0"/>
    <n v="2008"/>
    <d v="2008-04-26T00:00:00"/>
    <s v="Rajasthan Royals"/>
    <x v="0"/>
    <x v="1"/>
    <x v="4"/>
    <x v="5"/>
    <x v="0"/>
  </r>
  <r>
    <s v="Mumbai Indians"/>
    <s v="Deccan Chargers"/>
    <x v="0"/>
    <n v="2008"/>
    <d v="2008-04-27T00:00:00"/>
    <s v="Deccan Chargers"/>
    <x v="0"/>
    <x v="1"/>
    <x v="6"/>
    <x v="11"/>
    <x v="8"/>
  </r>
  <r>
    <s v="Kings XI Punjab"/>
    <s v="Delhi Daredevils"/>
    <x v="0"/>
    <n v="2008"/>
    <d v="2008-04-27T00:00:00"/>
    <s v="Delhi Daredevils"/>
    <x v="1"/>
    <x v="0"/>
    <x v="5"/>
    <x v="12"/>
    <x v="1"/>
  </r>
  <r>
    <s v="Royal Challengers Bangalore"/>
    <s v="Chennai Super Kings"/>
    <x v="0"/>
    <n v="2008"/>
    <d v="2008-04-28T00:00:00"/>
    <s v="Chennai Super Kings"/>
    <x v="1"/>
    <x v="1"/>
    <x v="1"/>
    <x v="13"/>
    <x v="0"/>
  </r>
  <r>
    <s v="Kolkata Knight Riders"/>
    <s v="Mumbai Indians"/>
    <x v="0"/>
    <n v="2008"/>
    <d v="2008-04-29T00:00:00"/>
    <s v="Kolkata Knight Riders"/>
    <x v="1"/>
    <x v="0"/>
    <x v="7"/>
    <x v="14"/>
    <x v="4"/>
  </r>
  <r>
    <s v="Delhi Daredevils"/>
    <s v="Royal Challengers Bangalore"/>
    <x v="0"/>
    <n v="2008"/>
    <d v="2008-04-30T00:00:00"/>
    <s v="Royal Challengers Bangalore"/>
    <x v="0"/>
    <x v="0"/>
    <x v="2"/>
    <x v="15"/>
    <x v="2"/>
  </r>
  <r>
    <s v="Rajasthan Royals"/>
    <s v="Kolkata Knight Riders"/>
    <x v="0"/>
    <n v="2008"/>
    <d v="2008-05-01T00:00:00"/>
    <s v="Rajasthan Royals"/>
    <x v="1"/>
    <x v="1"/>
    <x v="4"/>
    <x v="16"/>
    <x v="5"/>
  </r>
  <r>
    <s v="Deccan Chargers"/>
    <s v="Kings XI Punjab"/>
    <x v="0"/>
    <n v="2008"/>
    <d v="2008-05-01T00:00:00"/>
    <s v="Kings XI Punjab"/>
    <x v="0"/>
    <x v="1"/>
    <x v="5"/>
    <x v="17"/>
    <x v="6"/>
  </r>
  <r>
    <s v="Chennai Super Kings"/>
    <s v="Delhi Daredevils"/>
    <x v="0"/>
    <n v="2008"/>
    <d v="2008-05-02T00:00:00"/>
    <s v="Chennai Super Kings"/>
    <x v="1"/>
    <x v="0"/>
    <x v="2"/>
    <x v="6"/>
    <x v="7"/>
  </r>
  <r>
    <s v="Royal Challengers Bangalore"/>
    <s v="Deccan Chargers"/>
    <x v="0"/>
    <n v="2008"/>
    <d v="2008-05-03T00:00:00"/>
    <s v="Deccan Chargers"/>
    <x v="0"/>
    <x v="0"/>
    <x v="3"/>
    <x v="18"/>
    <x v="0"/>
  </r>
  <r>
    <s v="Kings XI Punjab"/>
    <s v="Kolkata Knight Riders"/>
    <x v="0"/>
    <n v="2008"/>
    <d v="2008-05-03T00:00:00"/>
    <s v="Kings XI Punjab"/>
    <x v="1"/>
    <x v="1"/>
    <x v="5"/>
    <x v="19"/>
    <x v="1"/>
  </r>
  <r>
    <s v="Rajasthan Royals"/>
    <s v="Chennai Super Kings"/>
    <x v="0"/>
    <n v="2008"/>
    <d v="2008-05-04T00:00:00"/>
    <s v="Chennai Super Kings"/>
    <x v="1"/>
    <x v="0"/>
    <x v="4"/>
    <x v="20"/>
    <x v="5"/>
  </r>
  <r>
    <s v="Mumbai Indians"/>
    <s v="Delhi Daredevils"/>
    <x v="0"/>
    <n v="2008"/>
    <d v="2008-05-04T00:00:00"/>
    <s v="Delhi Daredevils"/>
    <x v="0"/>
    <x v="0"/>
    <x v="7"/>
    <x v="21"/>
    <x v="8"/>
  </r>
  <r>
    <s v="Royal Challengers Bangalore"/>
    <s v="Kings XI Punjab"/>
    <x v="0"/>
    <n v="2008"/>
    <d v="2008-05-05T00:00:00"/>
    <s v="Kings XI Punjab"/>
    <x v="0"/>
    <x v="1"/>
    <x v="5"/>
    <x v="22"/>
    <x v="0"/>
  </r>
  <r>
    <s v="Chennai Super Kings"/>
    <s v="Deccan Chargers"/>
    <x v="0"/>
    <n v="2008"/>
    <d v="2008-05-06T00:00:00"/>
    <s v="Deccan Chargers"/>
    <x v="0"/>
    <x v="1"/>
    <x v="6"/>
    <x v="11"/>
    <x v="7"/>
  </r>
  <r>
    <s v="Mumbai Indians"/>
    <s v="Rajasthan Royals"/>
    <x v="0"/>
    <n v="2008"/>
    <d v="2008-05-07T00:00:00"/>
    <s v="Mumbai Indians"/>
    <x v="0"/>
    <x v="1"/>
    <x v="7"/>
    <x v="23"/>
    <x v="8"/>
  </r>
  <r>
    <s v="Delhi Daredevils"/>
    <s v="Chennai Super Kings"/>
    <x v="0"/>
    <n v="2008"/>
    <d v="2008-05-08T00:00:00"/>
    <s v="Chennai Super Kings"/>
    <x v="0"/>
    <x v="1"/>
    <x v="1"/>
    <x v="13"/>
    <x v="2"/>
  </r>
  <r>
    <s v="Kolkata Knight Riders"/>
    <s v="Royal Challengers Bangalore"/>
    <x v="0"/>
    <n v="2008"/>
    <d v="2008-05-08T00:00:00"/>
    <s v="Kolkata Knight Riders"/>
    <x v="1"/>
    <x v="1"/>
    <x v="0"/>
    <x v="24"/>
    <x v="4"/>
  </r>
  <r>
    <s v="Rajasthan Royals"/>
    <s v="Deccan Chargers"/>
    <x v="0"/>
    <n v="2008"/>
    <d v="2008-05-09T00:00:00"/>
    <s v="Rajasthan Royals"/>
    <x v="0"/>
    <x v="1"/>
    <x v="4"/>
    <x v="8"/>
    <x v="5"/>
  </r>
  <r>
    <s v="Chennai Super Kings"/>
    <s v="Kings XI Punjab"/>
    <x v="0"/>
    <n v="2008"/>
    <d v="2008-05-10T00:00:00"/>
    <s v="Kings XI Punjab"/>
    <x v="0"/>
    <x v="0"/>
    <x v="1"/>
    <x v="25"/>
    <x v="7"/>
  </r>
  <r>
    <s v="Rajasthan Royals"/>
    <s v="Delhi Daredevils"/>
    <x v="0"/>
    <n v="2008"/>
    <d v="2008-05-11T00:00:00"/>
    <s v="Rajasthan Royals"/>
    <x v="0"/>
    <x v="1"/>
    <x v="4"/>
    <x v="5"/>
    <x v="5"/>
  </r>
  <r>
    <s v="Deccan Chargers"/>
    <s v="Kolkata Knight Riders"/>
    <x v="0"/>
    <n v="2008"/>
    <d v="2008-05-11T00:00:00"/>
    <s v="Kolkata Knight Riders"/>
    <x v="1"/>
    <x v="1"/>
    <x v="0"/>
    <x v="24"/>
    <x v="6"/>
  </r>
  <r>
    <s v="Kings XI Punjab"/>
    <s v="Royal Challengers Bangalore"/>
    <x v="0"/>
    <n v="2008"/>
    <d v="2008-05-12T00:00:00"/>
    <s v="Royal Challengers Bangalore"/>
    <x v="1"/>
    <x v="0"/>
    <x v="5"/>
    <x v="17"/>
    <x v="1"/>
  </r>
  <r>
    <s v="Kolkata Knight Riders"/>
    <s v="Delhi Daredevils"/>
    <x v="0"/>
    <n v="2008"/>
    <d v="2008-05-13T00:00:00"/>
    <s v="Kolkata Knight Riders"/>
    <x v="1"/>
    <x v="1"/>
    <x v="0"/>
    <x v="26"/>
    <x v="4"/>
  </r>
  <r>
    <s v="Mumbai Indians"/>
    <s v="Chennai Super Kings"/>
    <x v="0"/>
    <n v="2008"/>
    <d v="2008-05-14T00:00:00"/>
    <s v="Mumbai Indians"/>
    <x v="0"/>
    <x v="1"/>
    <x v="7"/>
    <x v="14"/>
    <x v="3"/>
  </r>
  <r>
    <s v="Delhi Daredevils"/>
    <s v="Deccan Chargers"/>
    <x v="0"/>
    <n v="2008"/>
    <d v="2008-05-15T00:00:00"/>
    <s v="Deccan Chargers"/>
    <x v="0"/>
    <x v="0"/>
    <x v="2"/>
    <x v="27"/>
    <x v="2"/>
  </r>
  <r>
    <s v="Mumbai Indians"/>
    <s v="Kolkata Knight Riders"/>
    <x v="0"/>
    <n v="2008"/>
    <d v="2008-05-16T00:00:00"/>
    <s v="Mumbai Indians"/>
    <x v="0"/>
    <x v="1"/>
    <x v="7"/>
    <x v="21"/>
    <x v="3"/>
  </r>
  <r>
    <s v="Delhi Daredevils"/>
    <s v="Kings XI Punjab"/>
    <x v="0"/>
    <n v="2008"/>
    <d v="2008-05-17T00:00:00"/>
    <s v="Delhi Daredevils"/>
    <x v="1"/>
    <x v="0"/>
    <x v="5"/>
    <x v="28"/>
    <x v="2"/>
  </r>
  <r>
    <s v="Rajasthan Royals"/>
    <s v="Royal Challengers Bangalore"/>
    <x v="0"/>
    <n v="2008"/>
    <d v="2008-05-17T00:00:00"/>
    <s v="Royal Challengers Bangalore"/>
    <x v="0"/>
    <x v="0"/>
    <x v="4"/>
    <x v="29"/>
    <x v="5"/>
  </r>
  <r>
    <s v="Deccan Chargers"/>
    <s v="Mumbai Indians"/>
    <x v="0"/>
    <n v="2008"/>
    <d v="2008-05-18T00:00:00"/>
    <s v="Deccan Chargers"/>
    <x v="0"/>
    <x v="0"/>
    <x v="7"/>
    <x v="30"/>
    <x v="6"/>
  </r>
  <r>
    <s v="Kolkata Knight Riders"/>
    <s v="Chennai Super Kings"/>
    <x v="0"/>
    <n v="2008"/>
    <d v="2008-05-18T00:00:00"/>
    <s v="Kolkata Knight Riders"/>
    <x v="1"/>
    <x v="0"/>
    <x v="1"/>
    <x v="31"/>
    <x v="4"/>
  </r>
  <r>
    <s v="Royal Challengers Bangalore"/>
    <s v="Delhi Daredevils"/>
    <x v="0"/>
    <n v="2008"/>
    <d v="2008-05-19T00:00:00"/>
    <s v="Delhi Daredevils"/>
    <x v="0"/>
    <x v="1"/>
    <x v="2"/>
    <x v="32"/>
    <x v="0"/>
  </r>
  <r>
    <s v="Kolkata Knight Riders"/>
    <s v="Rajasthan Royals"/>
    <x v="0"/>
    <n v="2008"/>
    <d v="2008-05-20T00:00:00"/>
    <s v="Rajasthan Royals"/>
    <x v="0"/>
    <x v="1"/>
    <x v="4"/>
    <x v="8"/>
    <x v="4"/>
  </r>
  <r>
    <s v="Chennai Super Kings"/>
    <s v="Royal Challengers Bangalore"/>
    <x v="0"/>
    <n v="2008"/>
    <d v="2008-05-21T00:00:00"/>
    <s v="Royal Challengers Bangalore"/>
    <x v="1"/>
    <x v="1"/>
    <x v="3"/>
    <x v="33"/>
    <x v="7"/>
  </r>
  <r>
    <s v="Mumbai Indians"/>
    <s v="Kings XI Punjab"/>
    <x v="0"/>
    <n v="2008"/>
    <d v="2008-05-21T00:00:00"/>
    <s v="Mumbai Indians"/>
    <x v="0"/>
    <x v="0"/>
    <x v="5"/>
    <x v="17"/>
    <x v="3"/>
  </r>
  <r>
    <s v="Kings XI Punjab"/>
    <s v="Deccan Chargers"/>
    <x v="0"/>
    <n v="2008"/>
    <d v="2008-05-23T00:00:00"/>
    <s v="Kings XI Punjab"/>
    <x v="0"/>
    <x v="1"/>
    <x v="5"/>
    <x v="17"/>
    <x v="1"/>
  </r>
  <r>
    <s v="Chennai Super Kings"/>
    <s v="Rajasthan Royals"/>
    <x v="0"/>
    <n v="2008"/>
    <d v="2008-05-24T00:00:00"/>
    <s v="Rajasthan Royals"/>
    <x v="1"/>
    <x v="1"/>
    <x v="4"/>
    <x v="34"/>
    <x v="7"/>
  </r>
  <r>
    <s v="Delhi Daredevils"/>
    <s v="Mumbai Indians"/>
    <x v="0"/>
    <n v="2008"/>
    <d v="2008-05-24T00:00:00"/>
    <s v="Delhi Daredevils"/>
    <x v="0"/>
    <x v="1"/>
    <x v="2"/>
    <x v="35"/>
    <x v="2"/>
  </r>
  <r>
    <s v="Kolkata Knight Riders"/>
    <s v="Kings XI Punjab"/>
    <x v="0"/>
    <n v="2008"/>
    <d v="2008-05-25T00:00:00"/>
    <s v="Kings XI Punjab"/>
    <x v="1"/>
    <x v="0"/>
    <x v="0"/>
    <x v="36"/>
    <x v="4"/>
  </r>
  <r>
    <s v="Deccan Chargers"/>
    <s v="Royal Challengers Bangalore"/>
    <x v="0"/>
    <n v="2008"/>
    <d v="2008-05-25T00:00:00"/>
    <s v="Deccan Chargers"/>
    <x v="1"/>
    <x v="0"/>
    <x v="3"/>
    <x v="37"/>
    <x v="6"/>
  </r>
  <r>
    <s v="Rajasthan Royals"/>
    <s v="Mumbai Indians"/>
    <x v="0"/>
    <n v="2008"/>
    <d v="2008-05-26T00:00:00"/>
    <s v="Rajasthan Royals"/>
    <x v="0"/>
    <x v="1"/>
    <x v="4"/>
    <x v="20"/>
    <x v="5"/>
  </r>
  <r>
    <s v="Deccan Chargers"/>
    <s v="Chennai Super Kings"/>
    <x v="0"/>
    <n v="2008"/>
    <d v="2008-05-27T00:00:00"/>
    <s v="Deccan Chargers"/>
    <x v="1"/>
    <x v="0"/>
    <x v="1"/>
    <x v="38"/>
    <x v="6"/>
  </r>
  <r>
    <s v="Kings XI Punjab"/>
    <s v="Rajasthan Royals"/>
    <x v="0"/>
    <n v="2008"/>
    <d v="2008-05-28T00:00:00"/>
    <s v="Rajasthan Royals"/>
    <x v="0"/>
    <x v="0"/>
    <x v="5"/>
    <x v="17"/>
    <x v="1"/>
  </r>
  <r>
    <s v="Royal Challengers Bangalore"/>
    <s v="Mumbai Indians"/>
    <x v="0"/>
    <n v="2008"/>
    <d v="2008-05-28T00:00:00"/>
    <s v="Mumbai Indians"/>
    <x v="0"/>
    <x v="1"/>
    <x v="7"/>
    <x v="39"/>
    <x v="0"/>
  </r>
  <r>
    <s v="Delhi Daredevils"/>
    <s v="Rajasthan Royals"/>
    <x v="0"/>
    <n v="2008"/>
    <d v="2008-05-30T00:00:00"/>
    <s v="Delhi Daredevils"/>
    <x v="0"/>
    <x v="0"/>
    <x v="4"/>
    <x v="5"/>
    <x v="3"/>
  </r>
  <r>
    <s v="Chennai Super Kings"/>
    <s v="Kings XI Punjab"/>
    <x v="0"/>
    <n v="2008"/>
    <d v="2008-05-31T00:00:00"/>
    <s v="Kings XI Punjab"/>
    <x v="1"/>
    <x v="0"/>
    <x v="1"/>
    <x v="31"/>
    <x v="3"/>
  </r>
  <r>
    <s v="Chennai Super Kings"/>
    <s v="Rajasthan Royals"/>
    <x v="0"/>
    <n v="2008"/>
    <d v="2008-06-01T00:00:00"/>
    <s v="Rajasthan Royals"/>
    <x v="0"/>
    <x v="1"/>
    <x v="4"/>
    <x v="8"/>
    <x v="8"/>
  </r>
  <r>
    <s v="Royal Challengers Bangalore"/>
    <s v="Rajasthan Royals"/>
    <x v="1"/>
    <n v="2009"/>
    <d v="2009-04-18T00:00:00"/>
    <s v="Royal Challengers Bangalore"/>
    <x v="1"/>
    <x v="1"/>
    <x v="3"/>
    <x v="40"/>
    <x v="9"/>
  </r>
  <r>
    <s v="Chennai Super Kings"/>
    <s v="Mumbai Indians"/>
    <x v="1"/>
    <n v="2009"/>
    <d v="2009-04-18T00:00:00"/>
    <s v="Chennai Super Kings"/>
    <x v="0"/>
    <x v="0"/>
    <x v="7"/>
    <x v="41"/>
    <x v="9"/>
  </r>
  <r>
    <s v="Deccan Chargers"/>
    <s v="Kolkata Knight Riders"/>
    <x v="1"/>
    <n v="2009"/>
    <d v="2009-04-19T00:00:00"/>
    <s v="Kolkata Knight Riders"/>
    <x v="1"/>
    <x v="0"/>
    <x v="6"/>
    <x v="42"/>
    <x v="9"/>
  </r>
  <r>
    <s v="Delhi Daredevils"/>
    <s v="Kings XI Punjab"/>
    <x v="1"/>
    <n v="2009"/>
    <d v="2009-04-19T00:00:00"/>
    <s v="Delhi Daredevils"/>
    <x v="0"/>
    <x v="1"/>
    <x v="2"/>
    <x v="43"/>
    <x v="9"/>
  </r>
  <r>
    <s v="Royal Challengers Bangalore"/>
    <s v="Chennai Super Kings"/>
    <x v="1"/>
    <n v="2009"/>
    <d v="2009-04-20T00:00:00"/>
    <s v="Chennai Super Kings"/>
    <x v="1"/>
    <x v="1"/>
    <x v="1"/>
    <x v="44"/>
    <x v="10"/>
  </r>
  <r>
    <s v="Kings XI Punjab"/>
    <s v="Kolkata Knight Riders"/>
    <x v="1"/>
    <n v="2009"/>
    <d v="2009-04-21T00:00:00"/>
    <s v="Kolkata Knight Riders"/>
    <x v="0"/>
    <x v="1"/>
    <x v="0"/>
    <x v="45"/>
    <x v="11"/>
  </r>
  <r>
    <s v="Royal Challengers Bangalore"/>
    <s v="Deccan Chargers"/>
    <x v="1"/>
    <n v="2009"/>
    <d v="2009-04-22T00:00:00"/>
    <s v="Deccan Chargers"/>
    <x v="1"/>
    <x v="1"/>
    <x v="6"/>
    <x v="11"/>
    <x v="9"/>
  </r>
  <r>
    <s v="Chennai Super Kings"/>
    <s v="Delhi Daredevils"/>
    <x v="1"/>
    <n v="2009"/>
    <d v="2009-04-23T00:00:00"/>
    <s v="Delhi Daredevils"/>
    <x v="1"/>
    <x v="1"/>
    <x v="2"/>
    <x v="46"/>
    <x v="11"/>
  </r>
  <r>
    <s v="Kolkata Knight Riders"/>
    <s v="Rajasthan Royals"/>
    <x v="1"/>
    <n v="2009"/>
    <d v="2009-04-23T00:00:00"/>
    <s v="Kolkata Knight Riders"/>
    <x v="0"/>
    <x v="0"/>
    <x v="8"/>
    <x v="8"/>
    <x v="9"/>
  </r>
  <r>
    <s v="Royal Challengers Bangalore"/>
    <s v="Kings XI Punjab"/>
    <x v="1"/>
    <n v="2009"/>
    <d v="2009-04-24T00:00:00"/>
    <s v="Royal Challengers Bangalore"/>
    <x v="1"/>
    <x v="0"/>
    <x v="5"/>
    <x v="47"/>
    <x v="11"/>
  </r>
  <r>
    <s v="Deccan Chargers"/>
    <s v="Mumbai Indians"/>
    <x v="1"/>
    <n v="2009"/>
    <d v="2009-04-25T00:00:00"/>
    <s v="Deccan Chargers"/>
    <x v="1"/>
    <x v="1"/>
    <x v="6"/>
    <x v="48"/>
    <x v="11"/>
  </r>
  <r>
    <s v="Kings XI Punjab"/>
    <s v="Rajasthan Royals"/>
    <x v="1"/>
    <n v="2009"/>
    <d v="2009-04-26T00:00:00"/>
    <s v="Kings XI Punjab"/>
    <x v="1"/>
    <x v="1"/>
    <x v="5"/>
    <x v="9"/>
    <x v="9"/>
  </r>
  <r>
    <s v="Royal Challengers Bangalore"/>
    <s v="Delhi Daredevils"/>
    <x v="1"/>
    <n v="2009"/>
    <d v="2009-04-26T00:00:00"/>
    <s v="Royal Challengers Bangalore"/>
    <x v="1"/>
    <x v="0"/>
    <x v="2"/>
    <x v="49"/>
    <x v="10"/>
  </r>
  <r>
    <s v="Chennai Super Kings"/>
    <s v="Deccan Chargers"/>
    <x v="1"/>
    <n v="2009"/>
    <d v="2009-04-27T00:00:00"/>
    <s v="Deccan Chargers"/>
    <x v="0"/>
    <x v="1"/>
    <x v="6"/>
    <x v="50"/>
    <x v="11"/>
  </r>
  <r>
    <s v="Kolkata Knight Riders"/>
    <s v="Mumbai Indians"/>
    <x v="1"/>
    <n v="2009"/>
    <d v="2009-04-27T00:00:00"/>
    <s v="Mumbai Indians"/>
    <x v="1"/>
    <x v="1"/>
    <x v="7"/>
    <x v="41"/>
    <x v="10"/>
  </r>
  <r>
    <s v="Delhi Daredevils"/>
    <s v="Rajasthan Royals"/>
    <x v="1"/>
    <n v="2009"/>
    <d v="2009-04-28T00:00:00"/>
    <s v="Delhi Daredevils"/>
    <x v="1"/>
    <x v="0"/>
    <x v="4"/>
    <x v="8"/>
    <x v="12"/>
  </r>
  <r>
    <s v="Royal Challengers Bangalore"/>
    <s v="Kolkata Knight Riders"/>
    <x v="1"/>
    <n v="2009"/>
    <d v="2009-04-29T00:00:00"/>
    <s v="Kolkata Knight Riders"/>
    <x v="1"/>
    <x v="0"/>
    <x v="3"/>
    <x v="3"/>
    <x v="11"/>
  </r>
  <r>
    <s v="Kings XI Punjab"/>
    <s v="Mumbai Indians"/>
    <x v="1"/>
    <n v="2009"/>
    <d v="2009-04-29T00:00:00"/>
    <s v="Kings XI Punjab"/>
    <x v="1"/>
    <x v="1"/>
    <x v="5"/>
    <x v="9"/>
    <x v="11"/>
  </r>
  <r>
    <s v="Chennai Super Kings"/>
    <s v="Rajasthan Royals"/>
    <x v="1"/>
    <n v="2009"/>
    <d v="2009-04-30T00:00:00"/>
    <s v="Rajasthan Royals"/>
    <x v="0"/>
    <x v="0"/>
    <x v="1"/>
    <x v="38"/>
    <x v="12"/>
  </r>
  <r>
    <s v="Deccan Chargers"/>
    <s v="Delhi Daredevils"/>
    <x v="1"/>
    <n v="2009"/>
    <d v="2009-04-30T00:00:00"/>
    <s v="Delhi Daredevils"/>
    <x v="0"/>
    <x v="1"/>
    <x v="2"/>
    <x v="51"/>
    <x v="12"/>
  </r>
  <r>
    <s v="Kolkata Knight Riders"/>
    <s v="Mumbai Indians"/>
    <x v="1"/>
    <n v="2009"/>
    <d v="2009-05-01T00:00:00"/>
    <s v="Mumbai Indians"/>
    <x v="1"/>
    <x v="1"/>
    <x v="7"/>
    <x v="52"/>
    <x v="13"/>
  </r>
  <r>
    <s v="Royal Challengers Bangalore"/>
    <s v="Kings XI Punjab"/>
    <x v="1"/>
    <n v="2009"/>
    <d v="2009-05-01T00:00:00"/>
    <s v="Royal Challengers Bangalore"/>
    <x v="1"/>
    <x v="1"/>
    <x v="3"/>
    <x v="53"/>
    <x v="11"/>
  </r>
  <r>
    <s v="Deccan Chargers"/>
    <s v="Rajasthan Royals"/>
    <x v="1"/>
    <n v="2009"/>
    <d v="2009-05-02T00:00:00"/>
    <s v="Deccan Chargers"/>
    <x v="1"/>
    <x v="0"/>
    <x v="4"/>
    <x v="8"/>
    <x v="10"/>
  </r>
  <r>
    <s v="Chennai Super Kings"/>
    <s v="Delhi Daredevils"/>
    <x v="1"/>
    <n v="2009"/>
    <d v="2009-05-02T00:00:00"/>
    <s v="Delhi Daredevils"/>
    <x v="0"/>
    <x v="0"/>
    <x v="1"/>
    <x v="54"/>
    <x v="14"/>
  </r>
  <r>
    <s v="Kings XI Punjab"/>
    <s v="Kolkata Knight Riders"/>
    <x v="1"/>
    <n v="2009"/>
    <d v="2009-05-03T00:00:00"/>
    <s v="Kolkata Knight Riders"/>
    <x v="1"/>
    <x v="0"/>
    <x v="5"/>
    <x v="28"/>
    <x v="10"/>
  </r>
  <r>
    <s v="Royal Challengers Bangalore"/>
    <s v="Mumbai Indians"/>
    <x v="1"/>
    <n v="2009"/>
    <d v="2009-05-03T00:00:00"/>
    <s v="Mumbai Indians"/>
    <x v="1"/>
    <x v="0"/>
    <x v="3"/>
    <x v="55"/>
    <x v="14"/>
  </r>
  <r>
    <s v="Chennai Super Kings"/>
    <s v="Deccan Chargers"/>
    <x v="1"/>
    <n v="2009"/>
    <d v="2009-05-04T00:00:00"/>
    <s v="Chennai Super Kings"/>
    <x v="1"/>
    <x v="1"/>
    <x v="1"/>
    <x v="13"/>
    <x v="13"/>
  </r>
  <r>
    <s v="Kings XI Punjab"/>
    <s v="Rajasthan Royals"/>
    <x v="1"/>
    <n v="2009"/>
    <d v="2009-05-05T00:00:00"/>
    <s v="Kings XI Punjab"/>
    <x v="0"/>
    <x v="0"/>
    <x v="4"/>
    <x v="29"/>
    <x v="11"/>
  </r>
  <r>
    <s v="Delhi Daredevils"/>
    <s v="Kolkata Knight Riders"/>
    <x v="1"/>
    <n v="2009"/>
    <d v="2009-05-05T00:00:00"/>
    <s v="Kolkata Knight Riders"/>
    <x v="1"/>
    <x v="0"/>
    <x v="2"/>
    <x v="56"/>
    <x v="11"/>
  </r>
  <r>
    <s v="Deccan Chargers"/>
    <s v="Mumbai Indians"/>
    <x v="1"/>
    <n v="2009"/>
    <d v="2009-05-06T00:00:00"/>
    <s v="Deccan Chargers"/>
    <x v="1"/>
    <x v="1"/>
    <x v="6"/>
    <x v="57"/>
    <x v="12"/>
  </r>
  <r>
    <s v="Chennai Super Kings"/>
    <s v="Kings XI Punjab"/>
    <x v="1"/>
    <n v="2009"/>
    <d v="2009-05-07T00:00:00"/>
    <s v="Chennai Super Kings"/>
    <x v="1"/>
    <x v="1"/>
    <x v="1"/>
    <x v="7"/>
    <x v="12"/>
  </r>
  <r>
    <s v="Royal Challengers Bangalore"/>
    <s v="Rajasthan Royals"/>
    <x v="1"/>
    <n v="2009"/>
    <d v="2009-05-07T00:00:00"/>
    <s v="Rajasthan Royals"/>
    <x v="0"/>
    <x v="1"/>
    <x v="4"/>
    <x v="58"/>
    <x v="12"/>
  </r>
  <r>
    <s v="Delhi Daredevils"/>
    <s v="Mumbai Indians"/>
    <x v="1"/>
    <n v="2009"/>
    <d v="2009-05-08T00:00:00"/>
    <s v="Mumbai Indians"/>
    <x v="1"/>
    <x v="0"/>
    <x v="2"/>
    <x v="23"/>
    <x v="13"/>
  </r>
  <r>
    <s v="Chennai Super Kings"/>
    <s v="Rajasthan Royals"/>
    <x v="1"/>
    <n v="2009"/>
    <d v="2009-05-09T00:00:00"/>
    <s v="Rajasthan Royals"/>
    <x v="1"/>
    <x v="0"/>
    <x v="1"/>
    <x v="59"/>
    <x v="15"/>
  </r>
  <r>
    <s v="Deccan Chargers"/>
    <s v="Kings XI Punjab"/>
    <x v="1"/>
    <n v="2009"/>
    <d v="2009-05-09T00:00:00"/>
    <s v="Kings XI Punjab"/>
    <x v="0"/>
    <x v="1"/>
    <x v="5"/>
    <x v="28"/>
    <x v="15"/>
  </r>
  <r>
    <s v="Royal Challengers Bangalore"/>
    <s v="Mumbai Indians"/>
    <x v="1"/>
    <n v="2009"/>
    <d v="2009-05-10T00:00:00"/>
    <s v="Mumbai Indians"/>
    <x v="1"/>
    <x v="1"/>
    <x v="7"/>
    <x v="52"/>
    <x v="10"/>
  </r>
  <r>
    <s v="Delhi Daredevils"/>
    <s v="Kolkata Knight Riders"/>
    <x v="1"/>
    <n v="2009"/>
    <d v="2009-05-10T00:00:00"/>
    <s v="Delhi Daredevils"/>
    <x v="0"/>
    <x v="1"/>
    <x v="2"/>
    <x v="27"/>
    <x v="14"/>
  </r>
  <r>
    <s v="Deccan Chargers"/>
    <s v="Rajasthan Royals"/>
    <x v="1"/>
    <n v="2009"/>
    <d v="2009-05-11T00:00:00"/>
    <s v="Deccan Chargers"/>
    <x v="1"/>
    <x v="1"/>
    <x v="6"/>
    <x v="60"/>
    <x v="15"/>
  </r>
  <r>
    <s v="Royal Challengers Bangalore"/>
    <s v="Kolkata Knight Riders"/>
    <x v="1"/>
    <n v="2009"/>
    <d v="2009-05-12T00:00:00"/>
    <s v="Royal Challengers Bangalore"/>
    <x v="0"/>
    <x v="1"/>
    <x v="3"/>
    <x v="61"/>
    <x v="12"/>
  </r>
  <r>
    <s v="Kings XI Punjab"/>
    <s v="Mumbai Indians"/>
    <x v="1"/>
    <n v="2009"/>
    <d v="2009-05-12T00:00:00"/>
    <s v="Kings XI Punjab"/>
    <x v="1"/>
    <x v="0"/>
    <x v="7"/>
    <x v="62"/>
    <x v="12"/>
  </r>
  <r>
    <s v="Deccan Chargers"/>
    <s v="Delhi Daredevils"/>
    <x v="1"/>
    <n v="2009"/>
    <d v="2009-05-13T00:00:00"/>
    <s v="Deccan Chargers"/>
    <x v="0"/>
    <x v="0"/>
    <x v="2"/>
    <x v="63"/>
    <x v="11"/>
  </r>
  <r>
    <s v="Royal Challengers Bangalore"/>
    <s v="Chennai Super Kings"/>
    <x v="1"/>
    <n v="2009"/>
    <d v="2009-05-14T00:00:00"/>
    <s v="Chennai Super Kings"/>
    <x v="1"/>
    <x v="0"/>
    <x v="3"/>
    <x v="61"/>
    <x v="11"/>
  </r>
  <r>
    <s v="Mumbai Indians"/>
    <s v="Rajasthan Royals"/>
    <x v="1"/>
    <n v="2009"/>
    <d v="2009-05-14T00:00:00"/>
    <s v="Rajasthan Royals"/>
    <x v="1"/>
    <x v="1"/>
    <x v="4"/>
    <x v="64"/>
    <x v="11"/>
  </r>
  <r>
    <s v="Delhi Daredevils"/>
    <s v="Kings XI Punjab"/>
    <x v="1"/>
    <n v="2009"/>
    <d v="2009-05-15T00:00:00"/>
    <s v="Kings XI Punjab"/>
    <x v="0"/>
    <x v="1"/>
    <x v="5"/>
    <x v="65"/>
    <x v="16"/>
  </r>
  <r>
    <s v="Chennai Super Kings"/>
    <s v="Mumbai Indians"/>
    <x v="1"/>
    <n v="2009"/>
    <d v="2009-05-16T00:00:00"/>
    <s v="Mumbai Indians"/>
    <x v="1"/>
    <x v="0"/>
    <x v="1"/>
    <x v="7"/>
    <x v="10"/>
  </r>
  <r>
    <s v="Deccan Chargers"/>
    <s v="Kolkata Knight Riders"/>
    <x v="1"/>
    <n v="2009"/>
    <d v="2009-05-16T00:00:00"/>
    <s v="Deccan Chargers"/>
    <x v="0"/>
    <x v="1"/>
    <x v="6"/>
    <x v="57"/>
    <x v="14"/>
  </r>
  <r>
    <s v="Deccan Chargers"/>
    <s v="Kings XI Punjab"/>
    <x v="1"/>
    <n v="2009"/>
    <d v="2009-05-17T00:00:00"/>
    <s v="Deccan Chargers"/>
    <x v="0"/>
    <x v="0"/>
    <x v="5"/>
    <x v="53"/>
    <x v="14"/>
  </r>
  <r>
    <s v="Delhi Daredevils"/>
    <s v="Rajasthan Royals"/>
    <x v="1"/>
    <n v="2009"/>
    <d v="2009-05-17T00:00:00"/>
    <s v="Delhi Daredevils"/>
    <x v="1"/>
    <x v="1"/>
    <x v="2"/>
    <x v="46"/>
    <x v="16"/>
  </r>
  <r>
    <s v="Chennai Super Kings"/>
    <s v="Kolkata Knight Riders"/>
    <x v="1"/>
    <n v="2009"/>
    <d v="2009-05-18T00:00:00"/>
    <s v="Chennai Super Kings"/>
    <x v="1"/>
    <x v="0"/>
    <x v="0"/>
    <x v="66"/>
    <x v="12"/>
  </r>
  <r>
    <s v="Royal Challengers Bangalore"/>
    <s v="Delhi Daredevils"/>
    <x v="1"/>
    <n v="2009"/>
    <d v="2009-05-19T00:00:00"/>
    <s v="Delhi Daredevils"/>
    <x v="1"/>
    <x v="0"/>
    <x v="3"/>
    <x v="55"/>
    <x v="14"/>
  </r>
  <r>
    <s v="Kolkata Knight Riders"/>
    <s v="Rajasthan Royals"/>
    <x v="1"/>
    <n v="2009"/>
    <d v="2009-05-20T00:00:00"/>
    <s v="Kolkata Knight Riders"/>
    <x v="0"/>
    <x v="1"/>
    <x v="0"/>
    <x v="67"/>
    <x v="11"/>
  </r>
  <r>
    <s v="Chennai Super Kings"/>
    <s v="Kings XI Punjab"/>
    <x v="1"/>
    <n v="2009"/>
    <d v="2009-05-20T00:00:00"/>
    <s v="Chennai Super Kings"/>
    <x v="1"/>
    <x v="1"/>
    <x v="1"/>
    <x v="44"/>
    <x v="11"/>
  </r>
  <r>
    <s v="Delhi Daredevils"/>
    <s v="Mumbai Indians"/>
    <x v="1"/>
    <n v="2009"/>
    <d v="2009-05-21T00:00:00"/>
    <s v="Delhi Daredevils"/>
    <x v="0"/>
    <x v="1"/>
    <x v="2"/>
    <x v="6"/>
    <x v="12"/>
  </r>
  <r>
    <s v="Royal Challengers Bangalore"/>
    <s v="Deccan Chargers"/>
    <x v="1"/>
    <n v="2009"/>
    <d v="2009-05-21T00:00:00"/>
    <s v="Royal Challengers Bangalore"/>
    <x v="1"/>
    <x v="1"/>
    <x v="3"/>
    <x v="68"/>
    <x v="12"/>
  </r>
  <r>
    <s v="Delhi Daredevils"/>
    <s v="Deccan Chargers"/>
    <x v="1"/>
    <n v="2009"/>
    <d v="2009-05-22T00:00:00"/>
    <s v="Deccan Chargers"/>
    <x v="0"/>
    <x v="1"/>
    <x v="6"/>
    <x v="11"/>
    <x v="12"/>
  </r>
  <r>
    <s v="Royal Challengers Bangalore"/>
    <s v="Chennai Super Kings"/>
    <x v="1"/>
    <n v="2009"/>
    <d v="2009-05-23T00:00:00"/>
    <s v="Royal Challengers Bangalore"/>
    <x v="0"/>
    <x v="1"/>
    <x v="3"/>
    <x v="68"/>
    <x v="14"/>
  </r>
  <r>
    <s v="Royal Challengers Bangalore"/>
    <s v="Deccan Chargers"/>
    <x v="1"/>
    <n v="2009"/>
    <d v="2009-05-24T00:00:00"/>
    <s v="Royal Challengers Bangalore"/>
    <x v="0"/>
    <x v="0"/>
    <x v="6"/>
    <x v="33"/>
    <x v="14"/>
  </r>
  <r>
    <s v="Deccan Chargers"/>
    <s v="Kolkata Knight Riders"/>
    <x v="2"/>
    <n v="2010"/>
    <d v="2010-03-12T00:00:00"/>
    <s v="Deccan Chargers"/>
    <x v="0"/>
    <x v="0"/>
    <x v="0"/>
    <x v="69"/>
    <x v="8"/>
  </r>
  <r>
    <s v="Mumbai Indians"/>
    <s v="Rajasthan Royals"/>
    <x v="2"/>
    <n v="2010"/>
    <d v="2010-03-13T00:00:00"/>
    <s v="Mumbai Indians"/>
    <x v="1"/>
    <x v="1"/>
    <x v="7"/>
    <x v="8"/>
    <x v="17"/>
  </r>
  <r>
    <s v="Kings XI Punjab"/>
    <s v="Delhi Daredevils"/>
    <x v="2"/>
    <n v="2010"/>
    <d v="2010-03-13T00:00:00"/>
    <s v="Delhi Daredevils"/>
    <x v="0"/>
    <x v="1"/>
    <x v="2"/>
    <x v="56"/>
    <x v="1"/>
  </r>
  <r>
    <s v="Kolkata Knight Riders"/>
    <s v="Royal Challengers Bangalore"/>
    <x v="2"/>
    <n v="2010"/>
    <d v="2010-03-14T00:00:00"/>
    <s v="Kolkata Knight Riders"/>
    <x v="0"/>
    <x v="1"/>
    <x v="0"/>
    <x v="70"/>
    <x v="4"/>
  </r>
  <r>
    <s v="Chennai Super Kings"/>
    <s v="Deccan Chargers"/>
    <x v="2"/>
    <n v="2010"/>
    <d v="2010-03-14T00:00:00"/>
    <s v="Deccan Chargers"/>
    <x v="1"/>
    <x v="1"/>
    <x v="6"/>
    <x v="71"/>
    <x v="7"/>
  </r>
  <r>
    <s v="Rajasthan Royals"/>
    <s v="Delhi Daredevils"/>
    <x v="2"/>
    <n v="2010"/>
    <d v="2010-03-15T00:00:00"/>
    <s v="Delhi Daredevils"/>
    <x v="0"/>
    <x v="1"/>
    <x v="2"/>
    <x v="6"/>
    <x v="18"/>
  </r>
  <r>
    <s v="Royal Challengers Bangalore"/>
    <s v="Kings XI Punjab"/>
    <x v="2"/>
    <n v="2010"/>
    <d v="2010-03-16T00:00:00"/>
    <s v="Kings XI Punjab"/>
    <x v="1"/>
    <x v="0"/>
    <x v="3"/>
    <x v="55"/>
    <x v="0"/>
  </r>
  <r>
    <s v="Kolkata Knight Riders"/>
    <s v="Chennai Super Kings"/>
    <x v="2"/>
    <n v="2010"/>
    <d v="2010-03-16T00:00:00"/>
    <s v="Chennai Super Kings"/>
    <x v="1"/>
    <x v="1"/>
    <x v="1"/>
    <x v="13"/>
    <x v="4"/>
  </r>
  <r>
    <s v="Delhi Daredevils"/>
    <s v="Mumbai Indians"/>
    <x v="2"/>
    <n v="2010"/>
    <d v="2010-03-17T00:00:00"/>
    <s v="Delhi Daredevils"/>
    <x v="0"/>
    <x v="0"/>
    <x v="7"/>
    <x v="41"/>
    <x v="2"/>
  </r>
  <r>
    <s v="Royal Challengers Bangalore"/>
    <s v="Rajasthan Royals"/>
    <x v="2"/>
    <n v="2010"/>
    <d v="2010-03-18T00:00:00"/>
    <s v="Royal Challengers Bangalore"/>
    <x v="0"/>
    <x v="1"/>
    <x v="3"/>
    <x v="55"/>
    <x v="0"/>
  </r>
  <r>
    <s v="Deccan Chargers"/>
    <s v="Kings XI Punjab"/>
    <x v="2"/>
    <n v="2010"/>
    <d v="2010-03-19T00:00:00"/>
    <s v="Kings XI Punjab"/>
    <x v="0"/>
    <x v="0"/>
    <x v="6"/>
    <x v="72"/>
    <x v="19"/>
  </r>
  <r>
    <s v="Delhi Daredevils"/>
    <s v="Chennai Super Kings"/>
    <x v="2"/>
    <n v="2010"/>
    <d v="2010-03-19T00:00:00"/>
    <s v="Delhi Daredevils"/>
    <x v="1"/>
    <x v="0"/>
    <x v="1"/>
    <x v="7"/>
    <x v="2"/>
  </r>
  <r>
    <s v="Mumbai Indians"/>
    <s v="Royal Challengers Bangalore"/>
    <x v="2"/>
    <n v="2010"/>
    <d v="2010-03-20T00:00:00"/>
    <s v="Mumbai Indians"/>
    <x v="1"/>
    <x v="0"/>
    <x v="3"/>
    <x v="55"/>
    <x v="17"/>
  </r>
  <r>
    <s v="Rajasthan Royals"/>
    <s v="Kolkata Knight Riders"/>
    <x v="2"/>
    <n v="2010"/>
    <d v="2010-03-20T00:00:00"/>
    <s v="Rajasthan Royals"/>
    <x v="1"/>
    <x v="1"/>
    <x v="4"/>
    <x v="73"/>
    <x v="18"/>
  </r>
  <r>
    <s v="Deccan Chargers"/>
    <s v="Delhi Daredevils"/>
    <x v="2"/>
    <n v="2010"/>
    <d v="2010-03-21T00:00:00"/>
    <s v="Deccan Chargers"/>
    <x v="1"/>
    <x v="1"/>
    <x v="6"/>
    <x v="72"/>
    <x v="19"/>
  </r>
  <r>
    <s v="Chennai Super Kings"/>
    <s v="Kings XI Punjab"/>
    <x v="2"/>
    <n v="2010"/>
    <d v="2010-03-21T00:00:00"/>
    <s v="Chennai Super Kings"/>
    <x v="0"/>
    <x v="0"/>
    <x v="8"/>
    <x v="74"/>
    <x v="7"/>
  </r>
  <r>
    <s v="Mumbai Indians"/>
    <s v="Kolkata Knight Riders"/>
    <x v="2"/>
    <n v="2010"/>
    <d v="2010-03-22T00:00:00"/>
    <s v="Kolkata Knight Riders"/>
    <x v="1"/>
    <x v="0"/>
    <x v="7"/>
    <x v="41"/>
    <x v="17"/>
  </r>
  <r>
    <s v="Royal Challengers Bangalore"/>
    <s v="Chennai Super Kings"/>
    <x v="2"/>
    <n v="2010"/>
    <d v="2010-03-23T00:00:00"/>
    <s v="Chennai Super Kings"/>
    <x v="0"/>
    <x v="0"/>
    <x v="3"/>
    <x v="75"/>
    <x v="0"/>
  </r>
  <r>
    <s v="Kings XI Punjab"/>
    <s v="Rajasthan Royals"/>
    <x v="2"/>
    <n v="2010"/>
    <d v="2010-03-24T00:00:00"/>
    <s v="Kings XI Punjab"/>
    <x v="0"/>
    <x v="0"/>
    <x v="4"/>
    <x v="76"/>
    <x v="1"/>
  </r>
  <r>
    <s v="Chennai Super Kings"/>
    <s v="Mumbai Indians"/>
    <x v="2"/>
    <n v="2010"/>
    <d v="2010-03-25T00:00:00"/>
    <s v="Mumbai Indians"/>
    <x v="0"/>
    <x v="1"/>
    <x v="7"/>
    <x v="41"/>
    <x v="20"/>
  </r>
  <r>
    <s v="Royal Challengers Bangalore"/>
    <s v="Delhi Daredevils"/>
    <x v="2"/>
    <n v="2010"/>
    <d v="2010-03-25T00:00:00"/>
    <s v="Royal Challengers Bangalore"/>
    <x v="0"/>
    <x v="0"/>
    <x v="2"/>
    <x v="77"/>
    <x v="0"/>
  </r>
  <r>
    <s v="Rajasthan Royals"/>
    <s v="Deccan Chargers"/>
    <x v="2"/>
    <n v="2010"/>
    <d v="2010-03-26T00:00:00"/>
    <s v="Deccan Chargers"/>
    <x v="1"/>
    <x v="0"/>
    <x v="4"/>
    <x v="8"/>
    <x v="18"/>
  </r>
  <r>
    <s v="Kings XI Punjab"/>
    <s v="Kolkata Knight Riders"/>
    <x v="2"/>
    <n v="2010"/>
    <d v="2010-03-27T00:00:00"/>
    <s v="Kolkata Knight Riders"/>
    <x v="1"/>
    <x v="1"/>
    <x v="0"/>
    <x v="70"/>
    <x v="1"/>
  </r>
  <r>
    <s v="Rajasthan Royals"/>
    <s v="Chennai Super Kings"/>
    <x v="2"/>
    <n v="2010"/>
    <d v="2010-03-28T00:00:00"/>
    <s v="Rajasthan Royals"/>
    <x v="1"/>
    <x v="1"/>
    <x v="4"/>
    <x v="78"/>
    <x v="18"/>
  </r>
  <r>
    <s v="Deccan Chargers"/>
    <s v="Mumbai Indians"/>
    <x v="2"/>
    <n v="2010"/>
    <d v="2010-03-28T00:00:00"/>
    <s v="Deccan Chargers"/>
    <x v="0"/>
    <x v="0"/>
    <x v="7"/>
    <x v="62"/>
    <x v="8"/>
  </r>
  <r>
    <s v="Delhi Daredevils"/>
    <s v="Kolkata Knight Riders"/>
    <x v="2"/>
    <n v="2010"/>
    <d v="2010-03-29T00:00:00"/>
    <s v="Delhi Daredevils"/>
    <x v="1"/>
    <x v="1"/>
    <x v="2"/>
    <x v="79"/>
    <x v="2"/>
  </r>
  <r>
    <s v="Mumbai Indians"/>
    <s v="Kings XI Punjab"/>
    <x v="2"/>
    <n v="2010"/>
    <d v="2010-03-30T00:00:00"/>
    <s v="Mumbai Indians"/>
    <x v="0"/>
    <x v="1"/>
    <x v="7"/>
    <x v="80"/>
    <x v="17"/>
  </r>
  <r>
    <s v="Delhi Daredevils"/>
    <s v="Rajasthan Royals"/>
    <x v="2"/>
    <n v="2010"/>
    <d v="2010-03-31T00:00:00"/>
    <s v="Delhi Daredevils"/>
    <x v="1"/>
    <x v="1"/>
    <x v="2"/>
    <x v="35"/>
    <x v="2"/>
  </r>
  <r>
    <s v="Chennai Super Kings"/>
    <s v="Royal Challengers Bangalore"/>
    <x v="2"/>
    <n v="2010"/>
    <d v="2010-03-31T00:00:00"/>
    <s v="Royal Challengers Bangalore"/>
    <x v="1"/>
    <x v="0"/>
    <x v="1"/>
    <x v="81"/>
    <x v="7"/>
  </r>
  <r>
    <s v="Kolkata Knight Riders"/>
    <s v="Deccan Chargers"/>
    <x v="2"/>
    <n v="2010"/>
    <d v="2010-04-01T00:00:00"/>
    <s v="Kolkata Knight Riders"/>
    <x v="1"/>
    <x v="1"/>
    <x v="0"/>
    <x v="24"/>
    <x v="4"/>
  </r>
  <r>
    <s v="Kings XI Punjab"/>
    <s v="Royal Challengers Bangalore"/>
    <x v="2"/>
    <n v="2010"/>
    <d v="2010-04-02T00:00:00"/>
    <s v="Kings XI Punjab"/>
    <x v="1"/>
    <x v="0"/>
    <x v="3"/>
    <x v="82"/>
    <x v="1"/>
  </r>
  <r>
    <s v="Mumbai Indians"/>
    <s v="Deccan Chargers"/>
    <x v="2"/>
    <n v="2010"/>
    <d v="2010-04-03T00:00:00"/>
    <s v="Mumbai Indians"/>
    <x v="1"/>
    <x v="1"/>
    <x v="7"/>
    <x v="83"/>
    <x v="17"/>
  </r>
  <r>
    <s v="Chennai Super Kings"/>
    <s v="Rajasthan Royals"/>
    <x v="2"/>
    <n v="2010"/>
    <d v="2010-04-03T00:00:00"/>
    <s v="Chennai Super Kings"/>
    <x v="1"/>
    <x v="1"/>
    <x v="1"/>
    <x v="81"/>
    <x v="7"/>
  </r>
  <r>
    <s v="Kolkata Knight Riders"/>
    <s v="Kings XI Punjab"/>
    <x v="2"/>
    <n v="2010"/>
    <d v="2010-04-04T00:00:00"/>
    <s v="Kolkata Knight Riders"/>
    <x v="1"/>
    <x v="0"/>
    <x v="5"/>
    <x v="28"/>
    <x v="4"/>
  </r>
  <r>
    <s v="Delhi Daredevils"/>
    <s v="Royal Challengers Bangalore"/>
    <x v="2"/>
    <n v="2010"/>
    <d v="2010-04-04T00:00:00"/>
    <s v="Delhi Daredevils"/>
    <x v="1"/>
    <x v="1"/>
    <x v="2"/>
    <x v="84"/>
    <x v="2"/>
  </r>
  <r>
    <s v="Deccan Chargers"/>
    <s v="Rajasthan Royals"/>
    <x v="2"/>
    <n v="2010"/>
    <d v="2010-04-05T00:00:00"/>
    <s v="Rajasthan Royals"/>
    <x v="1"/>
    <x v="1"/>
    <x v="4"/>
    <x v="64"/>
    <x v="21"/>
  </r>
  <r>
    <s v="Chennai Super Kings"/>
    <s v="Mumbai Indians"/>
    <x v="2"/>
    <n v="2010"/>
    <d v="2010-04-06T00:00:00"/>
    <s v="Chennai Super Kings"/>
    <x v="1"/>
    <x v="1"/>
    <x v="1"/>
    <x v="38"/>
    <x v="7"/>
  </r>
  <r>
    <s v="Rajasthan Royals"/>
    <s v="Kings XI Punjab"/>
    <x v="2"/>
    <n v="2010"/>
    <d v="2010-04-07T00:00:00"/>
    <s v="Kings XI Punjab"/>
    <x v="1"/>
    <x v="0"/>
    <x v="4"/>
    <x v="85"/>
    <x v="5"/>
  </r>
  <r>
    <s v="Kolkata Knight Riders"/>
    <s v="Delhi Daredevils"/>
    <x v="2"/>
    <n v="2010"/>
    <d v="2010-04-07T00:00:00"/>
    <s v="Kolkata Knight Riders"/>
    <x v="1"/>
    <x v="1"/>
    <x v="0"/>
    <x v="24"/>
    <x v="4"/>
  </r>
  <r>
    <s v="Royal Challengers Bangalore"/>
    <s v="Deccan Chargers"/>
    <x v="2"/>
    <n v="2010"/>
    <d v="2010-04-08T00:00:00"/>
    <s v="Deccan Chargers"/>
    <x v="0"/>
    <x v="1"/>
    <x v="6"/>
    <x v="86"/>
    <x v="0"/>
  </r>
  <r>
    <s v="Kings XI Punjab"/>
    <s v="Mumbai Indians"/>
    <x v="2"/>
    <n v="2010"/>
    <d v="2010-04-09T00:00:00"/>
    <s v="Mumbai Indians"/>
    <x v="1"/>
    <x v="0"/>
    <x v="5"/>
    <x v="9"/>
    <x v="1"/>
  </r>
  <r>
    <s v="Deccan Chargers"/>
    <s v="Chennai Super Kings"/>
    <x v="2"/>
    <n v="2010"/>
    <d v="2010-04-10T00:00:00"/>
    <s v="Chennai Super Kings"/>
    <x v="1"/>
    <x v="0"/>
    <x v="6"/>
    <x v="87"/>
    <x v="21"/>
  </r>
  <r>
    <s v="Royal Challengers Bangalore"/>
    <s v="Kolkata Knight Riders"/>
    <x v="2"/>
    <n v="2010"/>
    <d v="2010-04-10T00:00:00"/>
    <s v="Royal Challengers Bangalore"/>
    <x v="0"/>
    <x v="1"/>
    <x v="3"/>
    <x v="37"/>
    <x v="0"/>
  </r>
  <r>
    <s v="Delhi Daredevils"/>
    <s v="Kings XI Punjab"/>
    <x v="2"/>
    <n v="2010"/>
    <d v="2010-04-11T00:00:00"/>
    <s v="Delhi Daredevils"/>
    <x v="1"/>
    <x v="0"/>
    <x v="5"/>
    <x v="88"/>
    <x v="2"/>
  </r>
  <r>
    <s v="Rajasthan Royals"/>
    <s v="Mumbai Indians"/>
    <x v="2"/>
    <n v="2010"/>
    <d v="2010-04-11T00:00:00"/>
    <s v="Rajasthan Royals"/>
    <x v="0"/>
    <x v="0"/>
    <x v="7"/>
    <x v="41"/>
    <x v="5"/>
  </r>
  <r>
    <s v="Deccan Chargers"/>
    <s v="Royal Challengers Bangalore"/>
    <x v="2"/>
    <n v="2010"/>
    <d v="2010-04-12T00:00:00"/>
    <s v="Royal Challengers Bangalore"/>
    <x v="0"/>
    <x v="0"/>
    <x v="6"/>
    <x v="89"/>
    <x v="21"/>
  </r>
  <r>
    <s v="Chennai Super Kings"/>
    <s v="Kolkata Knight Riders"/>
    <x v="2"/>
    <n v="2010"/>
    <d v="2010-04-13T00:00:00"/>
    <s v="Kolkata Knight Riders"/>
    <x v="1"/>
    <x v="0"/>
    <x v="1"/>
    <x v="90"/>
    <x v="7"/>
  </r>
  <r>
    <s v="Mumbai Indians"/>
    <s v="Delhi Daredevils"/>
    <x v="2"/>
    <n v="2010"/>
    <d v="2010-04-13T00:00:00"/>
    <s v="Mumbai Indians"/>
    <x v="1"/>
    <x v="1"/>
    <x v="7"/>
    <x v="91"/>
    <x v="17"/>
  </r>
  <r>
    <s v="Rajasthan Royals"/>
    <s v="Royal Challengers Bangalore"/>
    <x v="2"/>
    <n v="2010"/>
    <d v="2010-04-14T00:00:00"/>
    <s v="Rajasthan Royals"/>
    <x v="1"/>
    <x v="0"/>
    <x v="3"/>
    <x v="82"/>
    <x v="5"/>
  </r>
  <r>
    <s v="Chennai Super Kings"/>
    <s v="Delhi Daredevils"/>
    <x v="2"/>
    <n v="2010"/>
    <d v="2010-04-15T00:00:00"/>
    <s v="Chennai Super Kings"/>
    <x v="1"/>
    <x v="0"/>
    <x v="2"/>
    <x v="56"/>
    <x v="7"/>
  </r>
  <r>
    <s v="Kings XI Punjab"/>
    <s v="Deccan Chargers"/>
    <x v="2"/>
    <n v="2010"/>
    <d v="2010-04-16T00:00:00"/>
    <s v="Deccan Chargers"/>
    <x v="0"/>
    <x v="1"/>
    <x v="6"/>
    <x v="57"/>
    <x v="22"/>
  </r>
  <r>
    <s v="Royal Challengers Bangalore"/>
    <s v="Mumbai Indians"/>
    <x v="2"/>
    <n v="2010"/>
    <d v="2010-04-17T00:00:00"/>
    <s v="Royal Challengers Bangalore"/>
    <x v="0"/>
    <x v="0"/>
    <x v="7"/>
    <x v="92"/>
    <x v="0"/>
  </r>
  <r>
    <s v="Kolkata Knight Riders"/>
    <s v="Rajasthan Royals"/>
    <x v="2"/>
    <n v="2010"/>
    <d v="2010-04-17T00:00:00"/>
    <s v="Rajasthan Royals"/>
    <x v="1"/>
    <x v="0"/>
    <x v="0"/>
    <x v="93"/>
    <x v="4"/>
  </r>
  <r>
    <s v="Delhi Daredevils"/>
    <s v="Deccan Chargers"/>
    <x v="2"/>
    <n v="2010"/>
    <d v="2010-04-18T00:00:00"/>
    <s v="Deccan Chargers"/>
    <x v="1"/>
    <x v="1"/>
    <x v="6"/>
    <x v="72"/>
    <x v="2"/>
  </r>
  <r>
    <s v="Kings XI Punjab"/>
    <s v="Chennai Super Kings"/>
    <x v="2"/>
    <n v="2010"/>
    <d v="2010-04-18T00:00:00"/>
    <s v="Chennai Super Kings"/>
    <x v="0"/>
    <x v="1"/>
    <x v="1"/>
    <x v="13"/>
    <x v="22"/>
  </r>
  <r>
    <s v="Kolkata Knight Riders"/>
    <s v="Mumbai Indians"/>
    <x v="2"/>
    <n v="2010"/>
    <d v="2010-04-19T00:00:00"/>
    <s v="Mumbai Indians"/>
    <x v="1"/>
    <x v="0"/>
    <x v="0"/>
    <x v="94"/>
    <x v="4"/>
  </r>
  <r>
    <s v="Royal Challengers Bangalore"/>
    <s v="Mumbai Indians"/>
    <x v="2"/>
    <n v="2010"/>
    <d v="2010-04-21T00:00:00"/>
    <s v="Mumbai Indians"/>
    <x v="1"/>
    <x v="1"/>
    <x v="7"/>
    <x v="91"/>
    <x v="8"/>
  </r>
  <r>
    <s v="Chennai Super Kings"/>
    <s v="Deccan Chargers"/>
    <x v="2"/>
    <n v="2010"/>
    <d v="2010-04-22T00:00:00"/>
    <s v="Chennai Super Kings"/>
    <x v="1"/>
    <x v="1"/>
    <x v="1"/>
    <x v="95"/>
    <x v="8"/>
  </r>
  <r>
    <s v="Royal Challengers Bangalore"/>
    <s v="Deccan Chargers"/>
    <x v="2"/>
    <n v="2010"/>
    <d v="2010-04-24T00:00:00"/>
    <s v="Deccan Chargers"/>
    <x v="1"/>
    <x v="0"/>
    <x v="3"/>
    <x v="33"/>
    <x v="8"/>
  </r>
  <r>
    <s v="Chennai Super Kings"/>
    <s v="Mumbai Indians"/>
    <x v="2"/>
    <n v="2010"/>
    <d v="2010-04-25T00:00:00"/>
    <s v="Chennai Super Kings"/>
    <x v="1"/>
    <x v="1"/>
    <x v="1"/>
    <x v="38"/>
    <x v="8"/>
  </r>
  <r>
    <s v="Chennai Super Kings"/>
    <s v="Kolkata Knight Riders"/>
    <x v="3"/>
    <n v="2011"/>
    <d v="2011-04-08T00:00:00"/>
    <s v="Chennai Super Kings"/>
    <x v="1"/>
    <x v="1"/>
    <x v="1"/>
    <x v="96"/>
    <x v="7"/>
  </r>
  <r>
    <s v="Deccan Chargers"/>
    <s v="Rajasthan Royals"/>
    <x v="3"/>
    <n v="2011"/>
    <d v="2011-04-09T00:00:00"/>
    <s v="Rajasthan Royals"/>
    <x v="0"/>
    <x v="1"/>
    <x v="4"/>
    <x v="97"/>
    <x v="6"/>
  </r>
  <r>
    <s v="Kochi Tuskers Kerala"/>
    <s v="Royal Challengers Bangalore"/>
    <x v="3"/>
    <n v="2011"/>
    <d v="2011-04-09T00:00:00"/>
    <s v="Kochi Tuskers Kerala"/>
    <x v="1"/>
    <x v="0"/>
    <x v="3"/>
    <x v="46"/>
    <x v="23"/>
  </r>
  <r>
    <s v="Delhi Daredevils"/>
    <s v="Mumbai Indians"/>
    <x v="3"/>
    <n v="2011"/>
    <d v="2011-04-10T00:00:00"/>
    <s v="Delhi Daredevils"/>
    <x v="1"/>
    <x v="0"/>
    <x v="7"/>
    <x v="80"/>
    <x v="2"/>
  </r>
  <r>
    <s v="Pune Warriors"/>
    <s v="Kings XI Punjab"/>
    <x v="3"/>
    <n v="2011"/>
    <d v="2011-04-10T00:00:00"/>
    <s v="Kings XI Punjab"/>
    <x v="1"/>
    <x v="0"/>
    <x v="9"/>
    <x v="98"/>
    <x v="8"/>
  </r>
  <r>
    <s v="Kolkata Knight Riders"/>
    <s v="Deccan Chargers"/>
    <x v="3"/>
    <n v="2011"/>
    <d v="2011-04-11T00:00:00"/>
    <s v="Kolkata Knight Riders"/>
    <x v="1"/>
    <x v="1"/>
    <x v="0"/>
    <x v="55"/>
    <x v="4"/>
  </r>
  <r>
    <s v="Royal Challengers Bangalore"/>
    <s v="Mumbai Indians"/>
    <x v="3"/>
    <n v="2011"/>
    <d v="2011-04-12T00:00:00"/>
    <s v="Mumbai Indians"/>
    <x v="0"/>
    <x v="1"/>
    <x v="7"/>
    <x v="41"/>
    <x v="0"/>
  </r>
  <r>
    <s v="Rajasthan Royals"/>
    <s v="Delhi Daredevils"/>
    <x v="3"/>
    <n v="2011"/>
    <d v="2011-04-12T00:00:00"/>
    <s v="Delhi Daredevils"/>
    <x v="1"/>
    <x v="0"/>
    <x v="4"/>
    <x v="64"/>
    <x v="5"/>
  </r>
  <r>
    <s v="Pune Warriors"/>
    <s v="Kochi Tuskers Kerala"/>
    <x v="3"/>
    <n v="2011"/>
    <d v="2011-04-13T00:00:00"/>
    <s v="Kochi Tuskers Kerala"/>
    <x v="1"/>
    <x v="0"/>
    <x v="9"/>
    <x v="99"/>
    <x v="8"/>
  </r>
  <r>
    <s v="Kings XI Punjab"/>
    <s v="Chennai Super Kings"/>
    <x v="3"/>
    <n v="2011"/>
    <d v="2011-04-13T00:00:00"/>
    <s v="Kings XI Punjab"/>
    <x v="0"/>
    <x v="1"/>
    <x v="5"/>
    <x v="100"/>
    <x v="1"/>
  </r>
  <r>
    <s v="Deccan Chargers"/>
    <s v="Royal Challengers Bangalore"/>
    <x v="3"/>
    <n v="2011"/>
    <d v="2011-04-14T00:00:00"/>
    <s v="Royal Challengers Bangalore"/>
    <x v="0"/>
    <x v="0"/>
    <x v="6"/>
    <x v="101"/>
    <x v="6"/>
  </r>
  <r>
    <s v="Mumbai Indians"/>
    <s v="Kochi Tuskers Kerala"/>
    <x v="3"/>
    <n v="2011"/>
    <d v="2011-04-15T00:00:00"/>
    <s v="Kochi Tuskers Kerala"/>
    <x v="0"/>
    <x v="1"/>
    <x v="10"/>
    <x v="0"/>
    <x v="3"/>
  </r>
  <r>
    <s v="Rajasthan Royals"/>
    <s v="Kolkata Knight Riders"/>
    <x v="3"/>
    <n v="2011"/>
    <d v="2011-04-15T00:00:00"/>
    <s v="Kolkata Knight Riders"/>
    <x v="0"/>
    <x v="1"/>
    <x v="0"/>
    <x v="56"/>
    <x v="5"/>
  </r>
  <r>
    <s v="Chennai Super Kings"/>
    <s v="Royal Challengers Bangalore"/>
    <x v="3"/>
    <n v="2011"/>
    <d v="2011-04-16T00:00:00"/>
    <s v="Chennai Super Kings"/>
    <x v="1"/>
    <x v="1"/>
    <x v="1"/>
    <x v="1"/>
    <x v="7"/>
  </r>
  <r>
    <s v="Deccan Chargers"/>
    <s v="Kings XI Punjab"/>
    <x v="3"/>
    <n v="2011"/>
    <d v="2011-04-16T00:00:00"/>
    <s v="Kings XI Punjab"/>
    <x v="0"/>
    <x v="1"/>
    <x v="5"/>
    <x v="100"/>
    <x v="6"/>
  </r>
  <r>
    <s v="Pune Warriors"/>
    <s v="Delhi Daredevils"/>
    <x v="3"/>
    <n v="2011"/>
    <d v="2011-04-17T00:00:00"/>
    <s v="Delhi Daredevils"/>
    <x v="0"/>
    <x v="1"/>
    <x v="2"/>
    <x v="53"/>
    <x v="8"/>
  </r>
  <r>
    <s v="Kolkata Knight Riders"/>
    <s v="Rajasthan Royals"/>
    <x v="3"/>
    <n v="2011"/>
    <d v="2011-04-17T00:00:00"/>
    <s v="Kolkata Knight Riders"/>
    <x v="0"/>
    <x v="1"/>
    <x v="0"/>
    <x v="25"/>
    <x v="4"/>
  </r>
  <r>
    <s v="Kochi Tuskers Kerala"/>
    <s v="Chennai Super Kings"/>
    <x v="3"/>
    <n v="2011"/>
    <d v="2011-04-18T00:00:00"/>
    <s v="Kochi Tuskers Kerala"/>
    <x v="0"/>
    <x v="1"/>
    <x v="10"/>
    <x v="0"/>
    <x v="23"/>
  </r>
  <r>
    <s v="Delhi Daredevils"/>
    <s v="Deccan Chargers"/>
    <x v="3"/>
    <n v="2011"/>
    <d v="2011-04-19T00:00:00"/>
    <s v="Deccan Chargers"/>
    <x v="1"/>
    <x v="1"/>
    <x v="6"/>
    <x v="102"/>
    <x v="2"/>
  </r>
  <r>
    <s v="Kolkata Knight Riders"/>
    <s v="Kochi Tuskers Kerala"/>
    <x v="3"/>
    <n v="2011"/>
    <d v="2011-04-20T00:00:00"/>
    <s v="Kolkata Knight Riders"/>
    <x v="0"/>
    <x v="0"/>
    <x v="10"/>
    <x v="28"/>
    <x v="4"/>
  </r>
  <r>
    <s v="Mumbai Indians"/>
    <s v="Pune Warriors"/>
    <x v="3"/>
    <n v="2011"/>
    <d v="2011-04-20T00:00:00"/>
    <s v="Pune Warriors"/>
    <x v="1"/>
    <x v="0"/>
    <x v="7"/>
    <x v="103"/>
    <x v="3"/>
  </r>
  <r>
    <s v="Kings XI Punjab"/>
    <s v="Rajasthan Royals"/>
    <x v="3"/>
    <n v="2011"/>
    <d v="2011-04-21T00:00:00"/>
    <s v="Rajasthan Royals"/>
    <x v="0"/>
    <x v="0"/>
    <x v="5"/>
    <x v="17"/>
    <x v="1"/>
  </r>
  <r>
    <s v="Mumbai Indians"/>
    <s v="Chennai Super Kings"/>
    <x v="3"/>
    <n v="2011"/>
    <d v="2011-04-22T00:00:00"/>
    <s v="Chennai Super Kings"/>
    <x v="0"/>
    <x v="0"/>
    <x v="7"/>
    <x v="62"/>
    <x v="3"/>
  </r>
  <r>
    <s v="Kolkata Knight Riders"/>
    <s v="Royal Challengers Bangalore"/>
    <x v="3"/>
    <n v="2011"/>
    <d v="2011-04-22T00:00:00"/>
    <s v="Royal Challengers Bangalore"/>
    <x v="0"/>
    <x v="1"/>
    <x v="3"/>
    <x v="45"/>
    <x v="4"/>
  </r>
  <r>
    <s v="Delhi Daredevils"/>
    <s v="Kings XI Punjab"/>
    <x v="3"/>
    <n v="2011"/>
    <d v="2011-04-23T00:00:00"/>
    <s v="Kings XI Punjab"/>
    <x v="0"/>
    <x v="0"/>
    <x v="2"/>
    <x v="79"/>
    <x v="2"/>
  </r>
  <r>
    <s v="Deccan Chargers"/>
    <s v="Mumbai Indians"/>
    <x v="3"/>
    <n v="2011"/>
    <d v="2011-04-24T00:00:00"/>
    <s v="Deccan Chargers"/>
    <x v="0"/>
    <x v="0"/>
    <x v="7"/>
    <x v="80"/>
    <x v="6"/>
  </r>
  <r>
    <s v="Rajasthan Royals"/>
    <s v="Kochi Tuskers Kerala"/>
    <x v="3"/>
    <n v="2011"/>
    <d v="2011-04-24T00:00:00"/>
    <s v="Rajasthan Royals"/>
    <x v="0"/>
    <x v="1"/>
    <x v="4"/>
    <x v="64"/>
    <x v="5"/>
  </r>
  <r>
    <s v="Chennai Super Kings"/>
    <s v="Pune Warriors"/>
    <x v="3"/>
    <n v="2011"/>
    <d v="2011-04-25T00:00:00"/>
    <s v="Pune Warriors"/>
    <x v="0"/>
    <x v="0"/>
    <x v="1"/>
    <x v="1"/>
    <x v="7"/>
  </r>
  <r>
    <s v="Delhi Daredevils"/>
    <s v="Royal Challengers Bangalore"/>
    <x v="3"/>
    <n v="2011"/>
    <d v="2011-04-26T00:00:00"/>
    <s v="Royal Challengers Bangalore"/>
    <x v="0"/>
    <x v="1"/>
    <x v="3"/>
    <x v="104"/>
    <x v="2"/>
  </r>
  <r>
    <s v="Kochi Tuskers Kerala"/>
    <s v="Deccan Chargers"/>
    <x v="3"/>
    <n v="2011"/>
    <d v="2011-04-27T00:00:00"/>
    <s v="Kochi Tuskers Kerala"/>
    <x v="0"/>
    <x v="0"/>
    <x v="6"/>
    <x v="105"/>
    <x v="23"/>
  </r>
  <r>
    <s v="Pune Warriors"/>
    <s v="Chennai Super Kings"/>
    <x v="3"/>
    <n v="2011"/>
    <d v="2011-04-27T00:00:00"/>
    <s v="Pune Warriors"/>
    <x v="1"/>
    <x v="0"/>
    <x v="1"/>
    <x v="95"/>
    <x v="8"/>
  </r>
  <r>
    <s v="Delhi Daredevils"/>
    <s v="Kolkata Knight Riders"/>
    <x v="3"/>
    <n v="2011"/>
    <d v="2011-04-28T00:00:00"/>
    <s v="Delhi Daredevils"/>
    <x v="0"/>
    <x v="0"/>
    <x v="0"/>
    <x v="70"/>
    <x v="2"/>
  </r>
  <r>
    <s v="Royal Challengers Bangalore"/>
    <s v="Pune Warriors"/>
    <x v="3"/>
    <n v="2011"/>
    <d v="2011-04-29T00:00:00"/>
    <s v="Pune Warriors"/>
    <x v="0"/>
    <x v="0"/>
    <x v="3"/>
    <x v="104"/>
    <x v="0"/>
  </r>
  <r>
    <s v="Rajasthan Royals"/>
    <s v="Mumbai Indians"/>
    <x v="3"/>
    <n v="2011"/>
    <d v="2011-04-29T00:00:00"/>
    <s v="Rajasthan Royals"/>
    <x v="0"/>
    <x v="1"/>
    <x v="4"/>
    <x v="106"/>
    <x v="5"/>
  </r>
  <r>
    <s v="Kolkata Knight Riders"/>
    <s v="Kings XI Punjab"/>
    <x v="3"/>
    <n v="2011"/>
    <d v="2011-04-30T00:00:00"/>
    <s v="Kolkata Knight Riders"/>
    <x v="0"/>
    <x v="1"/>
    <x v="0"/>
    <x v="107"/>
    <x v="4"/>
  </r>
  <r>
    <s v="Kochi Tuskers Kerala"/>
    <s v="Delhi Daredevils"/>
    <x v="3"/>
    <n v="2011"/>
    <d v="2011-04-30T00:00:00"/>
    <s v="Delhi Daredevils"/>
    <x v="1"/>
    <x v="1"/>
    <x v="2"/>
    <x v="6"/>
    <x v="23"/>
  </r>
  <r>
    <s v="Rajasthan Royals"/>
    <s v="Pune Warriors"/>
    <x v="3"/>
    <n v="2011"/>
    <d v="2011-05-01T00:00:00"/>
    <s v="Rajasthan Royals"/>
    <x v="0"/>
    <x v="1"/>
    <x v="4"/>
    <x v="61"/>
    <x v="5"/>
  </r>
  <r>
    <s v="Chennai Super Kings"/>
    <s v="Deccan Chargers"/>
    <x v="3"/>
    <n v="2011"/>
    <d v="2011-05-01T00:00:00"/>
    <s v="Chennai Super Kings"/>
    <x v="1"/>
    <x v="1"/>
    <x v="1"/>
    <x v="34"/>
    <x v="7"/>
  </r>
  <r>
    <s v="Delhi Daredevils"/>
    <s v="Kochi Tuskers Kerala"/>
    <x v="3"/>
    <n v="2011"/>
    <d v="2011-05-02T00:00:00"/>
    <s v="Kochi Tuskers Kerala"/>
    <x v="0"/>
    <x v="1"/>
    <x v="10"/>
    <x v="108"/>
    <x v="2"/>
  </r>
  <r>
    <s v="Mumbai Indians"/>
    <s v="Kings XI Punjab"/>
    <x v="3"/>
    <n v="2011"/>
    <d v="2011-05-02T00:00:00"/>
    <s v="Kings XI Punjab"/>
    <x v="0"/>
    <x v="0"/>
    <x v="7"/>
    <x v="91"/>
    <x v="3"/>
  </r>
  <r>
    <s v="Deccan Chargers"/>
    <s v="Kolkata Knight Riders"/>
    <x v="3"/>
    <n v="2011"/>
    <d v="2011-05-03T00:00:00"/>
    <s v="Deccan Chargers"/>
    <x v="0"/>
    <x v="0"/>
    <x v="0"/>
    <x v="8"/>
    <x v="6"/>
  </r>
  <r>
    <s v="Chennai Super Kings"/>
    <s v="Rajasthan Royals"/>
    <x v="3"/>
    <n v="2011"/>
    <d v="2011-05-04T00:00:00"/>
    <s v="Rajasthan Royals"/>
    <x v="1"/>
    <x v="0"/>
    <x v="1"/>
    <x v="1"/>
    <x v="7"/>
  </r>
  <r>
    <s v="Pune Warriors"/>
    <s v="Mumbai Indians"/>
    <x v="3"/>
    <n v="2011"/>
    <d v="2011-05-04T00:00:00"/>
    <s v="Pune Warriors"/>
    <x v="0"/>
    <x v="0"/>
    <x v="7"/>
    <x v="109"/>
    <x v="8"/>
  </r>
  <r>
    <s v="Kochi Tuskers Kerala"/>
    <s v="Kolkata Knight Riders"/>
    <x v="3"/>
    <n v="2011"/>
    <d v="2011-05-05T00:00:00"/>
    <s v="Kolkata Knight Riders"/>
    <x v="0"/>
    <x v="0"/>
    <x v="10"/>
    <x v="66"/>
    <x v="23"/>
  </r>
  <r>
    <s v="Deccan Chargers"/>
    <s v="Delhi Daredevils"/>
    <x v="3"/>
    <n v="2011"/>
    <d v="2011-05-05T00:00:00"/>
    <s v="Delhi Daredevils"/>
    <x v="0"/>
    <x v="1"/>
    <x v="2"/>
    <x v="6"/>
    <x v="6"/>
  </r>
  <r>
    <s v="Royal Challengers Bangalore"/>
    <s v="Kings XI Punjab"/>
    <x v="3"/>
    <n v="2011"/>
    <d v="2011-05-06T00:00:00"/>
    <s v="Kings XI Punjab"/>
    <x v="0"/>
    <x v="0"/>
    <x v="3"/>
    <x v="45"/>
    <x v="0"/>
  </r>
  <r>
    <s v="Mumbai Indians"/>
    <s v="Delhi Daredevils"/>
    <x v="3"/>
    <n v="2011"/>
    <d v="2011-05-07T00:00:00"/>
    <s v="Delhi Daredevils"/>
    <x v="0"/>
    <x v="0"/>
    <x v="7"/>
    <x v="83"/>
    <x v="3"/>
  </r>
  <r>
    <s v="Kolkata Knight Riders"/>
    <s v="Chennai Super Kings"/>
    <x v="3"/>
    <n v="2011"/>
    <d v="2011-05-07T00:00:00"/>
    <s v="Chennai Super Kings"/>
    <x v="1"/>
    <x v="0"/>
    <x v="0"/>
    <x v="107"/>
    <x v="4"/>
  </r>
  <r>
    <s v="Kings XI Punjab"/>
    <s v="Pune Warriors"/>
    <x v="3"/>
    <n v="2011"/>
    <d v="2011-05-08T00:00:00"/>
    <s v="Kings XI Punjab"/>
    <x v="1"/>
    <x v="0"/>
    <x v="9"/>
    <x v="109"/>
    <x v="1"/>
  </r>
  <r>
    <s v="Royal Challengers Bangalore"/>
    <s v="Kochi Tuskers Kerala"/>
    <x v="3"/>
    <n v="2011"/>
    <d v="2011-05-08T00:00:00"/>
    <s v="Kochi Tuskers Kerala"/>
    <x v="1"/>
    <x v="0"/>
    <x v="3"/>
    <x v="45"/>
    <x v="0"/>
  </r>
  <r>
    <s v="Rajasthan Royals"/>
    <s v="Chennai Super Kings"/>
    <x v="3"/>
    <n v="2011"/>
    <d v="2011-05-09T00:00:00"/>
    <s v="Rajasthan Royals"/>
    <x v="0"/>
    <x v="0"/>
    <x v="1"/>
    <x v="81"/>
    <x v="5"/>
  </r>
  <r>
    <s v="Kings XI Punjab"/>
    <s v="Mumbai Indians"/>
    <x v="3"/>
    <n v="2011"/>
    <d v="2011-05-10T00:00:00"/>
    <s v="Mumbai Indians"/>
    <x v="0"/>
    <x v="0"/>
    <x v="5"/>
    <x v="110"/>
    <x v="1"/>
  </r>
  <r>
    <s v="Deccan Chargers"/>
    <s v="Pune Warriors"/>
    <x v="3"/>
    <n v="2011"/>
    <d v="2011-05-10T00:00:00"/>
    <s v="Deccan Chargers"/>
    <x v="1"/>
    <x v="0"/>
    <x v="9"/>
    <x v="111"/>
    <x v="6"/>
  </r>
  <r>
    <s v="Rajasthan Royals"/>
    <s v="Royal Challengers Bangalore"/>
    <x v="3"/>
    <n v="2011"/>
    <d v="2011-05-11T00:00:00"/>
    <s v="Royal Challengers Bangalore"/>
    <x v="0"/>
    <x v="1"/>
    <x v="3"/>
    <x v="112"/>
    <x v="5"/>
  </r>
  <r>
    <s v="Chennai Super Kings"/>
    <s v="Delhi Daredevils"/>
    <x v="3"/>
    <n v="2011"/>
    <d v="2011-05-12T00:00:00"/>
    <s v="Chennai Super Kings"/>
    <x v="1"/>
    <x v="1"/>
    <x v="1"/>
    <x v="13"/>
    <x v="7"/>
  </r>
  <r>
    <s v="Kochi Tuskers Kerala"/>
    <s v="Kings XI Punjab"/>
    <x v="3"/>
    <n v="2011"/>
    <d v="2011-05-13T00:00:00"/>
    <s v="Kings XI Punjab"/>
    <x v="0"/>
    <x v="1"/>
    <x v="5"/>
    <x v="35"/>
    <x v="24"/>
  </r>
  <r>
    <s v="Mumbai Indians"/>
    <s v="Deccan Chargers"/>
    <x v="3"/>
    <n v="2011"/>
    <d v="2011-05-14T00:00:00"/>
    <s v="Deccan Chargers"/>
    <x v="1"/>
    <x v="1"/>
    <x v="6"/>
    <x v="27"/>
    <x v="3"/>
  </r>
  <r>
    <s v="Royal Challengers Bangalore"/>
    <s v="Kolkata Knight Riders"/>
    <x v="3"/>
    <n v="2011"/>
    <d v="2011-05-14T00:00:00"/>
    <s v="Royal Challengers Bangalore"/>
    <x v="0"/>
    <x v="1"/>
    <x v="3"/>
    <x v="45"/>
    <x v="0"/>
  </r>
  <r>
    <s v="Kochi Tuskers Kerala"/>
    <s v="Rajasthan Royals"/>
    <x v="3"/>
    <n v="2011"/>
    <d v="2011-05-15T00:00:00"/>
    <s v="Kochi Tuskers Kerala"/>
    <x v="0"/>
    <x v="1"/>
    <x v="10"/>
    <x v="66"/>
    <x v="24"/>
  </r>
  <r>
    <s v="Kings XI Punjab"/>
    <s v="Delhi Daredevils"/>
    <x v="3"/>
    <n v="2011"/>
    <d v="2011-05-15T00:00:00"/>
    <s v="Delhi Daredevils"/>
    <x v="0"/>
    <x v="0"/>
    <x v="5"/>
    <x v="88"/>
    <x v="22"/>
  </r>
  <r>
    <s v="Pune Warriors"/>
    <s v="Deccan Chargers"/>
    <x v="3"/>
    <n v="2011"/>
    <d v="2011-05-16T00:00:00"/>
    <s v="Deccan Chargers"/>
    <x v="0"/>
    <x v="1"/>
    <x v="6"/>
    <x v="27"/>
    <x v="8"/>
  </r>
  <r>
    <s v="Kings XI Punjab"/>
    <s v="Royal Challengers Bangalore"/>
    <x v="3"/>
    <n v="2011"/>
    <d v="2011-05-17T00:00:00"/>
    <s v="Kings XI Punjab"/>
    <x v="1"/>
    <x v="1"/>
    <x v="5"/>
    <x v="11"/>
    <x v="22"/>
  </r>
  <r>
    <s v="Chennai Super Kings"/>
    <s v="Kochi Tuskers Kerala"/>
    <x v="3"/>
    <n v="2011"/>
    <d v="2011-05-18T00:00:00"/>
    <s v="Chennai Super Kings"/>
    <x v="1"/>
    <x v="1"/>
    <x v="1"/>
    <x v="113"/>
    <x v="7"/>
  </r>
  <r>
    <s v="Pune Warriors"/>
    <s v="Kolkata Knight Riders"/>
    <x v="3"/>
    <n v="2011"/>
    <d v="2011-05-19T00:00:00"/>
    <s v="Kolkata Knight Riders"/>
    <x v="0"/>
    <x v="1"/>
    <x v="0"/>
    <x v="8"/>
    <x v="8"/>
  </r>
  <r>
    <s v="Mumbai Indians"/>
    <s v="Rajasthan Royals"/>
    <x v="3"/>
    <n v="2011"/>
    <d v="2011-05-20T00:00:00"/>
    <s v="Mumbai Indians"/>
    <x v="1"/>
    <x v="0"/>
    <x v="4"/>
    <x v="5"/>
    <x v="3"/>
  </r>
  <r>
    <s v="Kings XI Punjab"/>
    <s v="Deccan Chargers"/>
    <x v="3"/>
    <n v="2011"/>
    <d v="2011-05-21T00:00:00"/>
    <s v="Kings XI Punjab"/>
    <x v="0"/>
    <x v="0"/>
    <x v="6"/>
    <x v="114"/>
    <x v="22"/>
  </r>
  <r>
    <s v="Delhi Daredevils"/>
    <s v="Pune Warriors"/>
    <x v="3"/>
    <n v="2011"/>
    <d v="2011-05-21T00:00:00"/>
    <s v="Delhi Daredevils"/>
    <x v="1"/>
    <x v="0"/>
    <x v="8"/>
    <x v="115"/>
    <x v="2"/>
  </r>
  <r>
    <s v="Royal Challengers Bangalore"/>
    <s v="Chennai Super Kings"/>
    <x v="3"/>
    <n v="2011"/>
    <d v="2011-05-22T00:00:00"/>
    <s v="Royal Challengers Bangalore"/>
    <x v="0"/>
    <x v="1"/>
    <x v="3"/>
    <x v="45"/>
    <x v="0"/>
  </r>
  <r>
    <s v="Kolkata Knight Riders"/>
    <s v="Mumbai Indians"/>
    <x v="3"/>
    <n v="2011"/>
    <d v="2011-05-22T00:00:00"/>
    <s v="Mumbai Indians"/>
    <x v="0"/>
    <x v="1"/>
    <x v="7"/>
    <x v="116"/>
    <x v="4"/>
  </r>
  <r>
    <s v="Royal Challengers Bangalore"/>
    <s v="Chennai Super Kings"/>
    <x v="3"/>
    <n v="2011"/>
    <d v="2011-05-24T00:00:00"/>
    <s v="Chennai Super Kings"/>
    <x v="0"/>
    <x v="1"/>
    <x v="1"/>
    <x v="38"/>
    <x v="3"/>
  </r>
  <r>
    <s v="Mumbai Indians"/>
    <s v="Kolkata Knight Riders"/>
    <x v="3"/>
    <n v="2011"/>
    <d v="2011-05-25T00:00:00"/>
    <s v="Mumbai Indians"/>
    <x v="0"/>
    <x v="1"/>
    <x v="7"/>
    <x v="103"/>
    <x v="3"/>
  </r>
  <r>
    <s v="Royal Challengers Bangalore"/>
    <s v="Mumbai Indians"/>
    <x v="3"/>
    <n v="2011"/>
    <d v="2011-05-27T00:00:00"/>
    <s v="Mumbai Indians"/>
    <x v="0"/>
    <x v="0"/>
    <x v="3"/>
    <x v="45"/>
    <x v="7"/>
  </r>
  <r>
    <s v="Chennai Super Kings"/>
    <s v="Royal Challengers Bangalore"/>
    <x v="3"/>
    <n v="2011"/>
    <d v="2011-05-28T00:00:00"/>
    <s v="Chennai Super Kings"/>
    <x v="1"/>
    <x v="1"/>
    <x v="1"/>
    <x v="81"/>
    <x v="7"/>
  </r>
  <r>
    <s v="Chennai Super Kings"/>
    <s v="Mumbai Indians"/>
    <x v="4"/>
    <n v="2012"/>
    <d v="2012-04-04T00:00:00"/>
    <s v="Mumbai Indians"/>
    <x v="0"/>
    <x v="1"/>
    <x v="7"/>
    <x v="117"/>
    <x v="7"/>
  </r>
  <r>
    <s v="Kolkata Knight Riders"/>
    <s v="Delhi Daredevils"/>
    <x v="4"/>
    <n v="2012"/>
    <d v="2012-04-05T00:00:00"/>
    <s v="Delhi Daredevils"/>
    <x v="0"/>
    <x v="1"/>
    <x v="2"/>
    <x v="19"/>
    <x v="4"/>
  </r>
  <r>
    <s v="Mumbai Indians"/>
    <s v="Pune Warriors"/>
    <x v="4"/>
    <n v="2012"/>
    <d v="2012-04-06T00:00:00"/>
    <s v="Mumbai Indians"/>
    <x v="0"/>
    <x v="0"/>
    <x v="9"/>
    <x v="118"/>
    <x v="3"/>
  </r>
  <r>
    <s v="Rajasthan Royals"/>
    <s v="Kings XI Punjab"/>
    <x v="4"/>
    <n v="2012"/>
    <d v="2012-04-06T00:00:00"/>
    <s v="Kings XI Punjab"/>
    <x v="0"/>
    <x v="0"/>
    <x v="4"/>
    <x v="119"/>
    <x v="5"/>
  </r>
  <r>
    <s v="Deccan Chargers"/>
    <s v="Chennai Super Kings"/>
    <x v="4"/>
    <n v="2012"/>
    <d v="2012-04-07T00:00:00"/>
    <s v="Deccan Chargers"/>
    <x v="0"/>
    <x v="0"/>
    <x v="1"/>
    <x v="120"/>
    <x v="25"/>
  </r>
  <r>
    <s v="Royal Challengers Bangalore"/>
    <s v="Delhi Daredevils"/>
    <x v="4"/>
    <n v="2012"/>
    <d v="2012-04-07T00:00:00"/>
    <s v="Delhi Daredevils"/>
    <x v="0"/>
    <x v="0"/>
    <x v="3"/>
    <x v="46"/>
    <x v="0"/>
  </r>
  <r>
    <s v="Pune Warriors"/>
    <s v="Kings XI Punjab"/>
    <x v="4"/>
    <n v="2012"/>
    <d v="2012-04-08T00:00:00"/>
    <s v="Pune Warriors"/>
    <x v="1"/>
    <x v="1"/>
    <x v="9"/>
    <x v="121"/>
    <x v="26"/>
  </r>
  <r>
    <s v="Rajasthan Royals"/>
    <s v="Kolkata Knight Riders"/>
    <x v="4"/>
    <n v="2012"/>
    <d v="2012-04-08T00:00:00"/>
    <s v="Kolkata Knight Riders"/>
    <x v="0"/>
    <x v="0"/>
    <x v="4"/>
    <x v="66"/>
    <x v="5"/>
  </r>
  <r>
    <s v="Deccan Chargers"/>
    <s v="Mumbai Indians"/>
    <x v="4"/>
    <n v="2012"/>
    <d v="2012-04-09T00:00:00"/>
    <s v="Deccan Chargers"/>
    <x v="1"/>
    <x v="0"/>
    <x v="7"/>
    <x v="57"/>
    <x v="25"/>
  </r>
  <r>
    <s v="Royal Challengers Bangalore"/>
    <s v="Kolkata Knight Riders"/>
    <x v="4"/>
    <n v="2012"/>
    <d v="2012-04-10T00:00:00"/>
    <s v="Royal Challengers Bangalore"/>
    <x v="0"/>
    <x v="0"/>
    <x v="0"/>
    <x v="25"/>
    <x v="0"/>
  </r>
  <r>
    <s v="Delhi Daredevils"/>
    <s v="Chennai Super Kings"/>
    <x v="4"/>
    <n v="2012"/>
    <d v="2012-04-10T00:00:00"/>
    <s v="Delhi Daredevils"/>
    <x v="0"/>
    <x v="1"/>
    <x v="2"/>
    <x v="122"/>
    <x v="2"/>
  </r>
  <r>
    <s v="Mumbai Indians"/>
    <s v="Rajasthan Royals"/>
    <x v="4"/>
    <n v="2012"/>
    <d v="2012-04-11T00:00:00"/>
    <s v="Rajasthan Royals"/>
    <x v="0"/>
    <x v="0"/>
    <x v="7"/>
    <x v="91"/>
    <x v="3"/>
  </r>
  <r>
    <s v="Chennai Super Kings"/>
    <s v="Royal Challengers Bangalore"/>
    <x v="4"/>
    <n v="2012"/>
    <d v="2012-04-12T00:00:00"/>
    <s v="Royal Challengers Bangalore"/>
    <x v="1"/>
    <x v="0"/>
    <x v="1"/>
    <x v="123"/>
    <x v="7"/>
  </r>
  <r>
    <s v="Kings XI Punjab"/>
    <s v="Pune Warriors"/>
    <x v="4"/>
    <n v="2012"/>
    <d v="2012-04-12T00:00:00"/>
    <s v="Kings XI Punjab"/>
    <x v="0"/>
    <x v="1"/>
    <x v="5"/>
    <x v="124"/>
    <x v="1"/>
  </r>
  <r>
    <s v="Kolkata Knight Riders"/>
    <s v="Rajasthan Royals"/>
    <x v="4"/>
    <n v="2012"/>
    <d v="2012-04-13T00:00:00"/>
    <s v="Rajasthan Royals"/>
    <x v="1"/>
    <x v="0"/>
    <x v="0"/>
    <x v="125"/>
    <x v="4"/>
  </r>
  <r>
    <s v="Pune Warriors"/>
    <s v="Chennai Super Kings"/>
    <x v="4"/>
    <n v="2012"/>
    <d v="2012-04-14T00:00:00"/>
    <s v="Chennai Super Kings"/>
    <x v="1"/>
    <x v="0"/>
    <x v="9"/>
    <x v="126"/>
    <x v="26"/>
  </r>
  <r>
    <s v="Royal Challengers Bangalore"/>
    <s v="Rajasthan Royals"/>
    <x v="4"/>
    <n v="2012"/>
    <d v="2012-04-15T00:00:00"/>
    <s v="Rajasthan Royals"/>
    <x v="1"/>
    <x v="1"/>
    <x v="4"/>
    <x v="119"/>
    <x v="0"/>
  </r>
  <r>
    <s v="Kolkata Knight Riders"/>
    <s v="Kings XI Punjab"/>
    <x v="4"/>
    <n v="2012"/>
    <d v="2012-04-15T00:00:00"/>
    <s v="Kolkata Knight Riders"/>
    <x v="0"/>
    <x v="0"/>
    <x v="5"/>
    <x v="127"/>
    <x v="4"/>
  </r>
  <r>
    <s v="Mumbai Indians"/>
    <s v="Delhi Daredevils"/>
    <x v="4"/>
    <n v="2012"/>
    <d v="2012-04-16T00:00:00"/>
    <s v="Delhi Daredevils"/>
    <x v="0"/>
    <x v="1"/>
    <x v="2"/>
    <x v="128"/>
    <x v="3"/>
  </r>
  <r>
    <s v="Rajasthan Royals"/>
    <s v="Deccan Chargers"/>
    <x v="4"/>
    <n v="2012"/>
    <d v="2012-04-17T00:00:00"/>
    <s v="Deccan Chargers"/>
    <x v="1"/>
    <x v="0"/>
    <x v="4"/>
    <x v="66"/>
    <x v="5"/>
  </r>
  <r>
    <s v="Royal Challengers Bangalore"/>
    <s v="Pune Warriors"/>
    <x v="4"/>
    <n v="2012"/>
    <d v="2012-04-17T00:00:00"/>
    <s v="Pune Warriors"/>
    <x v="1"/>
    <x v="0"/>
    <x v="3"/>
    <x v="45"/>
    <x v="0"/>
  </r>
  <r>
    <s v="Kings XI Punjab"/>
    <s v="Kolkata Knight Riders"/>
    <x v="4"/>
    <n v="2012"/>
    <d v="2012-04-18T00:00:00"/>
    <s v="Kings XI Punjab"/>
    <x v="1"/>
    <x v="0"/>
    <x v="0"/>
    <x v="56"/>
    <x v="1"/>
  </r>
  <r>
    <s v="Chennai Super Kings"/>
    <s v="Pune Warriors"/>
    <x v="4"/>
    <n v="2012"/>
    <d v="2012-04-19T00:00:00"/>
    <s v="Pune Warriors"/>
    <x v="0"/>
    <x v="0"/>
    <x v="1"/>
    <x v="129"/>
    <x v="7"/>
  </r>
  <r>
    <s v="Delhi Daredevils"/>
    <s v="Deccan Chargers"/>
    <x v="4"/>
    <n v="2012"/>
    <d v="2012-04-19T00:00:00"/>
    <s v="Deccan Chargers"/>
    <x v="1"/>
    <x v="0"/>
    <x v="2"/>
    <x v="82"/>
    <x v="2"/>
  </r>
  <r>
    <s v="Kings XI Punjab"/>
    <s v="Royal Challengers Bangalore"/>
    <x v="4"/>
    <n v="2012"/>
    <d v="2012-04-20T00:00:00"/>
    <s v="Royal Challengers Bangalore"/>
    <x v="0"/>
    <x v="1"/>
    <x v="3"/>
    <x v="45"/>
    <x v="1"/>
  </r>
  <r>
    <s v="Delhi Daredevils"/>
    <s v="Pune Warriors"/>
    <x v="4"/>
    <n v="2012"/>
    <d v="2012-04-21T00:00:00"/>
    <s v="Delhi Daredevils"/>
    <x v="0"/>
    <x v="0"/>
    <x v="9"/>
    <x v="24"/>
    <x v="2"/>
  </r>
  <r>
    <s v="Chennai Super Kings"/>
    <s v="Rajasthan Royals"/>
    <x v="4"/>
    <n v="2012"/>
    <d v="2012-04-21T00:00:00"/>
    <s v="Rajasthan Royals"/>
    <x v="1"/>
    <x v="0"/>
    <x v="1"/>
    <x v="123"/>
    <x v="7"/>
  </r>
  <r>
    <s v="Deccan Chargers"/>
    <s v="Kolkata Knight Riders"/>
    <x v="4"/>
    <n v="2012"/>
    <d v="2012-04-22T00:00:00"/>
    <s v="Kolkata Knight Riders"/>
    <x v="0"/>
    <x v="1"/>
    <x v="0"/>
    <x v="65"/>
    <x v="19"/>
  </r>
  <r>
    <s v="Mumbai Indians"/>
    <s v="Kings XI Punjab"/>
    <x v="4"/>
    <n v="2012"/>
    <d v="2012-04-22T00:00:00"/>
    <s v="Mumbai Indians"/>
    <x v="1"/>
    <x v="0"/>
    <x v="5"/>
    <x v="17"/>
    <x v="3"/>
  </r>
  <r>
    <s v="Rajasthan Royals"/>
    <s v="Royal Challengers Bangalore"/>
    <x v="4"/>
    <n v="2012"/>
    <d v="2012-04-23T00:00:00"/>
    <s v="Rajasthan Royals"/>
    <x v="0"/>
    <x v="0"/>
    <x v="3"/>
    <x v="46"/>
    <x v="5"/>
  </r>
  <r>
    <s v="Pune Warriors"/>
    <s v="Delhi Daredevils"/>
    <x v="4"/>
    <n v="2012"/>
    <d v="2012-04-24T00:00:00"/>
    <s v="Pune Warriors"/>
    <x v="1"/>
    <x v="0"/>
    <x v="2"/>
    <x v="6"/>
    <x v="26"/>
  </r>
  <r>
    <s v="Kings XI Punjab"/>
    <s v="Mumbai Indians"/>
    <x v="4"/>
    <n v="2012"/>
    <d v="2012-04-25T00:00:00"/>
    <s v="Kings XI Punjab"/>
    <x v="1"/>
    <x v="0"/>
    <x v="7"/>
    <x v="83"/>
    <x v="1"/>
  </r>
  <r>
    <s v="Pune Warriors"/>
    <s v="Deccan Chargers"/>
    <x v="4"/>
    <n v="2012"/>
    <d v="2012-04-26T00:00:00"/>
    <s v="Deccan Chargers"/>
    <x v="1"/>
    <x v="1"/>
    <x v="6"/>
    <x v="130"/>
    <x v="26"/>
  </r>
  <r>
    <s v="Delhi Daredevils"/>
    <s v="Mumbai Indians"/>
    <x v="4"/>
    <n v="2012"/>
    <d v="2012-04-27T00:00:00"/>
    <s v="Mumbai Indians"/>
    <x v="0"/>
    <x v="0"/>
    <x v="2"/>
    <x v="6"/>
    <x v="2"/>
  </r>
  <r>
    <s v="Chennai Super Kings"/>
    <s v="Kings XI Punjab"/>
    <x v="4"/>
    <n v="2012"/>
    <d v="2012-04-28T00:00:00"/>
    <s v="Kings XI Punjab"/>
    <x v="1"/>
    <x v="1"/>
    <x v="5"/>
    <x v="131"/>
    <x v="7"/>
  </r>
  <r>
    <s v="Kolkata Knight Riders"/>
    <s v="Royal Challengers Bangalore"/>
    <x v="4"/>
    <n v="2012"/>
    <d v="2012-04-28T00:00:00"/>
    <s v="Kolkata Knight Riders"/>
    <x v="1"/>
    <x v="1"/>
    <x v="0"/>
    <x v="56"/>
    <x v="4"/>
  </r>
  <r>
    <s v="Mumbai Indians"/>
    <s v="Deccan Chargers"/>
    <x v="4"/>
    <n v="2012"/>
    <d v="2012-04-29T00:00:00"/>
    <s v="Mumbai Indians"/>
    <x v="0"/>
    <x v="1"/>
    <x v="7"/>
    <x v="101"/>
    <x v="3"/>
  </r>
  <r>
    <s v="Delhi Daredevils"/>
    <s v="Rajasthan Royals"/>
    <x v="4"/>
    <n v="2012"/>
    <d v="2012-04-29T00:00:00"/>
    <s v="Delhi Daredevils"/>
    <x v="1"/>
    <x v="1"/>
    <x v="2"/>
    <x v="6"/>
    <x v="2"/>
  </r>
  <r>
    <s v="Chennai Super Kings"/>
    <s v="Kolkata Knight Riders"/>
    <x v="4"/>
    <n v="2012"/>
    <d v="2012-04-30T00:00:00"/>
    <s v="Chennai Super Kings"/>
    <x v="1"/>
    <x v="0"/>
    <x v="0"/>
    <x v="56"/>
    <x v="7"/>
  </r>
  <r>
    <s v="Deccan Chargers"/>
    <s v="Pune Warriors"/>
    <x v="4"/>
    <n v="2012"/>
    <d v="2012-05-01T00:00:00"/>
    <s v="Deccan Chargers"/>
    <x v="1"/>
    <x v="1"/>
    <x v="6"/>
    <x v="9"/>
    <x v="19"/>
  </r>
  <r>
    <s v="Rajasthan Royals"/>
    <s v="Delhi Daredevils"/>
    <x v="4"/>
    <n v="2012"/>
    <d v="2012-05-01T00:00:00"/>
    <s v="Rajasthan Royals"/>
    <x v="1"/>
    <x v="0"/>
    <x v="2"/>
    <x v="132"/>
    <x v="5"/>
  </r>
  <r>
    <s v="Royal Challengers Bangalore"/>
    <s v="Kings XI Punjab"/>
    <x v="4"/>
    <n v="2012"/>
    <d v="2012-05-02T00:00:00"/>
    <s v="Kings XI Punjab"/>
    <x v="0"/>
    <x v="1"/>
    <x v="5"/>
    <x v="133"/>
    <x v="0"/>
  </r>
  <r>
    <s v="Pune Warriors"/>
    <s v="Mumbai Indians"/>
    <x v="4"/>
    <n v="2012"/>
    <d v="2012-05-03T00:00:00"/>
    <s v="Mumbai Indians"/>
    <x v="1"/>
    <x v="1"/>
    <x v="7"/>
    <x v="80"/>
    <x v="26"/>
  </r>
  <r>
    <s v="Chennai Super Kings"/>
    <s v="Deccan Chargers"/>
    <x v="4"/>
    <n v="2012"/>
    <d v="2012-05-04T00:00:00"/>
    <s v="Chennai Super Kings"/>
    <x v="1"/>
    <x v="1"/>
    <x v="1"/>
    <x v="38"/>
    <x v="7"/>
  </r>
  <r>
    <s v="Kings XI Punjab"/>
    <s v="Rajasthan Royals"/>
    <x v="4"/>
    <n v="2012"/>
    <d v="2012-05-05T00:00:00"/>
    <s v="Rajasthan Royals"/>
    <x v="1"/>
    <x v="1"/>
    <x v="4"/>
    <x v="5"/>
    <x v="1"/>
  </r>
  <r>
    <s v="Kolkata Knight Riders"/>
    <s v="Pune Warriors"/>
    <x v="4"/>
    <n v="2012"/>
    <d v="2012-05-05T00:00:00"/>
    <s v="Kolkata Knight Riders"/>
    <x v="1"/>
    <x v="1"/>
    <x v="0"/>
    <x v="127"/>
    <x v="4"/>
  </r>
  <r>
    <s v="Mumbai Indians"/>
    <s v="Chennai Super Kings"/>
    <x v="4"/>
    <n v="2012"/>
    <d v="2012-05-06T00:00:00"/>
    <s v="Mumbai Indians"/>
    <x v="0"/>
    <x v="1"/>
    <x v="7"/>
    <x v="60"/>
    <x v="3"/>
  </r>
  <r>
    <s v="Royal Challengers Bangalore"/>
    <s v="Deccan Chargers"/>
    <x v="4"/>
    <n v="2012"/>
    <d v="2012-05-06T00:00:00"/>
    <s v="Royal Challengers Bangalore"/>
    <x v="0"/>
    <x v="1"/>
    <x v="3"/>
    <x v="46"/>
    <x v="0"/>
  </r>
  <r>
    <s v="Delhi Daredevils"/>
    <s v="Kolkata Knight Riders"/>
    <x v="4"/>
    <n v="2012"/>
    <d v="2012-05-07T00:00:00"/>
    <s v="Delhi Daredevils"/>
    <x v="1"/>
    <x v="0"/>
    <x v="0"/>
    <x v="55"/>
    <x v="2"/>
  </r>
  <r>
    <s v="Pune Warriors"/>
    <s v="Rajasthan Royals"/>
    <x v="4"/>
    <n v="2012"/>
    <d v="2012-05-08T00:00:00"/>
    <s v="Pune Warriors"/>
    <x v="1"/>
    <x v="0"/>
    <x v="4"/>
    <x v="5"/>
    <x v="26"/>
  </r>
  <r>
    <s v="Deccan Chargers"/>
    <s v="Kings XI Punjab"/>
    <x v="4"/>
    <n v="2012"/>
    <d v="2012-05-08T00:00:00"/>
    <s v="Deccan Chargers"/>
    <x v="0"/>
    <x v="0"/>
    <x v="5"/>
    <x v="131"/>
    <x v="6"/>
  </r>
  <r>
    <s v="Mumbai Indians"/>
    <s v="Royal Challengers Bangalore"/>
    <x v="4"/>
    <n v="2012"/>
    <d v="2012-05-09T00:00:00"/>
    <s v="Royal Challengers Bangalore"/>
    <x v="0"/>
    <x v="1"/>
    <x v="3"/>
    <x v="45"/>
    <x v="3"/>
  </r>
  <r>
    <s v="Rajasthan Royals"/>
    <s v="Chennai Super Kings"/>
    <x v="4"/>
    <n v="2012"/>
    <d v="2012-05-10T00:00:00"/>
    <s v="Chennai Super Kings"/>
    <x v="0"/>
    <x v="1"/>
    <x v="1"/>
    <x v="134"/>
    <x v="5"/>
  </r>
  <r>
    <s v="Deccan Chargers"/>
    <s v="Delhi Daredevils"/>
    <x v="4"/>
    <n v="2012"/>
    <d v="2012-05-10T00:00:00"/>
    <s v="Deccan Chargers"/>
    <x v="1"/>
    <x v="0"/>
    <x v="2"/>
    <x v="79"/>
    <x v="6"/>
  </r>
  <r>
    <s v="Pune Warriors"/>
    <s v="Royal Challengers Bangalore"/>
    <x v="4"/>
    <n v="2012"/>
    <d v="2012-05-11T00:00:00"/>
    <s v="Pune Warriors"/>
    <x v="0"/>
    <x v="0"/>
    <x v="3"/>
    <x v="45"/>
    <x v="26"/>
  </r>
  <r>
    <s v="Chennai Super Kings"/>
    <s v="Delhi Daredevils"/>
    <x v="4"/>
    <n v="2012"/>
    <d v="2012-05-12T00:00:00"/>
    <s v="Chennai Super Kings"/>
    <x v="0"/>
    <x v="1"/>
    <x v="1"/>
    <x v="134"/>
    <x v="7"/>
  </r>
  <r>
    <s v="Kolkata Knight Riders"/>
    <s v="Mumbai Indians"/>
    <x v="4"/>
    <n v="2012"/>
    <d v="2012-05-12T00:00:00"/>
    <s v="Mumbai Indians"/>
    <x v="1"/>
    <x v="1"/>
    <x v="7"/>
    <x v="57"/>
    <x v="4"/>
  </r>
  <r>
    <s v="Rajasthan Royals"/>
    <s v="Pune Warriors"/>
    <x v="4"/>
    <n v="2012"/>
    <d v="2012-05-13T00:00:00"/>
    <s v="Rajasthan Royals"/>
    <x v="1"/>
    <x v="1"/>
    <x v="4"/>
    <x v="135"/>
    <x v="5"/>
  </r>
  <r>
    <s v="Kings XI Punjab"/>
    <s v="Deccan Chargers"/>
    <x v="4"/>
    <n v="2012"/>
    <d v="2012-05-13T00:00:00"/>
    <s v="Deccan Chargers"/>
    <x v="1"/>
    <x v="0"/>
    <x v="5"/>
    <x v="4"/>
    <x v="1"/>
  </r>
  <r>
    <s v="Kolkata Knight Riders"/>
    <s v="Chennai Super Kings"/>
    <x v="4"/>
    <n v="2012"/>
    <d v="2012-05-14T00:00:00"/>
    <s v="Chennai Super Kings"/>
    <x v="0"/>
    <x v="1"/>
    <x v="1"/>
    <x v="1"/>
    <x v="4"/>
  </r>
  <r>
    <s v="Royal Challengers Bangalore"/>
    <s v="Mumbai Indians"/>
    <x v="4"/>
    <n v="2012"/>
    <d v="2012-05-14T00:00:00"/>
    <s v="Mumbai Indians"/>
    <x v="0"/>
    <x v="1"/>
    <x v="7"/>
    <x v="83"/>
    <x v="0"/>
  </r>
  <r>
    <s v="Delhi Daredevils"/>
    <s v="Kings XI Punjab"/>
    <x v="4"/>
    <n v="2012"/>
    <d v="2012-05-15T00:00:00"/>
    <s v="Kings XI Punjab"/>
    <x v="1"/>
    <x v="0"/>
    <x v="2"/>
    <x v="136"/>
    <x v="2"/>
  </r>
  <r>
    <s v="Mumbai Indians"/>
    <s v="Kolkata Knight Riders"/>
    <x v="4"/>
    <n v="2012"/>
    <d v="2012-05-16T00:00:00"/>
    <s v="Mumbai Indians"/>
    <x v="0"/>
    <x v="0"/>
    <x v="0"/>
    <x v="127"/>
    <x v="3"/>
  </r>
  <r>
    <s v="Delhi Daredevils"/>
    <s v="Royal Challengers Bangalore"/>
    <x v="4"/>
    <n v="2012"/>
    <d v="2012-05-17T00:00:00"/>
    <s v="Delhi Daredevils"/>
    <x v="0"/>
    <x v="0"/>
    <x v="3"/>
    <x v="45"/>
    <x v="2"/>
  </r>
  <r>
    <s v="Kings XI Punjab"/>
    <s v="Chennai Super Kings"/>
    <x v="4"/>
    <n v="2012"/>
    <d v="2012-05-17T00:00:00"/>
    <s v="Kings XI Punjab"/>
    <x v="0"/>
    <x v="1"/>
    <x v="5"/>
    <x v="11"/>
    <x v="22"/>
  </r>
  <r>
    <s v="Deccan Chargers"/>
    <s v="Rajasthan Royals"/>
    <x v="4"/>
    <n v="2012"/>
    <d v="2012-05-18T00:00:00"/>
    <s v="Rajasthan Royals"/>
    <x v="1"/>
    <x v="0"/>
    <x v="6"/>
    <x v="101"/>
    <x v="6"/>
  </r>
  <r>
    <s v="Kings XI Punjab"/>
    <s v="Delhi Daredevils"/>
    <x v="4"/>
    <n v="2012"/>
    <d v="2012-05-19T00:00:00"/>
    <s v="Delhi Daredevils"/>
    <x v="0"/>
    <x v="1"/>
    <x v="2"/>
    <x v="136"/>
    <x v="22"/>
  </r>
  <r>
    <s v="Pune Warriors"/>
    <s v="Kolkata Knight Riders"/>
    <x v="4"/>
    <n v="2012"/>
    <d v="2012-05-19T00:00:00"/>
    <s v="Kolkata Knight Riders"/>
    <x v="1"/>
    <x v="1"/>
    <x v="0"/>
    <x v="125"/>
    <x v="26"/>
  </r>
  <r>
    <s v="Rajasthan Royals"/>
    <s v="Mumbai Indians"/>
    <x v="4"/>
    <n v="2012"/>
    <d v="2012-05-20T00:00:00"/>
    <s v="Rajasthan Royals"/>
    <x v="1"/>
    <x v="0"/>
    <x v="7"/>
    <x v="60"/>
    <x v="5"/>
  </r>
  <r>
    <s v="Deccan Chargers"/>
    <s v="Royal Challengers Bangalore"/>
    <x v="4"/>
    <n v="2012"/>
    <d v="2012-05-20T00:00:00"/>
    <s v="Royal Challengers Bangalore"/>
    <x v="0"/>
    <x v="0"/>
    <x v="6"/>
    <x v="101"/>
    <x v="6"/>
  </r>
  <r>
    <s v="Delhi Daredevils"/>
    <s v="Kolkata Knight Riders"/>
    <x v="4"/>
    <n v="2012"/>
    <d v="2012-05-22T00:00:00"/>
    <s v="Kolkata Knight Riders"/>
    <x v="1"/>
    <x v="1"/>
    <x v="0"/>
    <x v="8"/>
    <x v="26"/>
  </r>
  <r>
    <s v="Chennai Super Kings"/>
    <s v="Mumbai Indians"/>
    <x v="4"/>
    <n v="2012"/>
    <d v="2012-05-23T00:00:00"/>
    <s v="Mumbai Indians"/>
    <x v="0"/>
    <x v="0"/>
    <x v="1"/>
    <x v="13"/>
    <x v="0"/>
  </r>
  <r>
    <s v="Delhi Daredevils"/>
    <s v="Chennai Super Kings"/>
    <x v="4"/>
    <n v="2012"/>
    <d v="2012-05-25T00:00:00"/>
    <s v="Delhi Daredevils"/>
    <x v="0"/>
    <x v="0"/>
    <x v="1"/>
    <x v="81"/>
    <x v="7"/>
  </r>
  <r>
    <s v="Kolkata Knight Riders"/>
    <s v="Chennai Super Kings"/>
    <x v="4"/>
    <n v="2012"/>
    <d v="2012-05-27T00:00:00"/>
    <s v="Chennai Super Kings"/>
    <x v="1"/>
    <x v="0"/>
    <x v="0"/>
    <x v="137"/>
    <x v="7"/>
  </r>
  <r>
    <s v="Kolkata Knight Riders"/>
    <s v="Delhi Daredevils"/>
    <x v="5"/>
    <n v="2013"/>
    <d v="2013-04-03T00:00:00"/>
    <s v="Kolkata Knight Riders"/>
    <x v="0"/>
    <x v="1"/>
    <x v="0"/>
    <x v="127"/>
    <x v="4"/>
  </r>
  <r>
    <s v="Royal Challengers Bangalore"/>
    <s v="Mumbai Indians"/>
    <x v="5"/>
    <n v="2013"/>
    <d v="2013-04-04T00:00:00"/>
    <s v="Mumbai Indians"/>
    <x v="0"/>
    <x v="0"/>
    <x v="3"/>
    <x v="45"/>
    <x v="0"/>
  </r>
  <r>
    <s v="Sunrisers Hyderabad"/>
    <s v="Pune Warriors"/>
    <x v="5"/>
    <n v="2013"/>
    <d v="2013-04-05T00:00:00"/>
    <s v="Pune Warriors"/>
    <x v="0"/>
    <x v="0"/>
    <x v="11"/>
    <x v="27"/>
    <x v="6"/>
  </r>
  <r>
    <s v="Chennai Super Kings"/>
    <s v="Mumbai Indians"/>
    <x v="5"/>
    <n v="2013"/>
    <d v="2013-04-06T00:00:00"/>
    <s v="Mumbai Indians"/>
    <x v="1"/>
    <x v="1"/>
    <x v="7"/>
    <x v="91"/>
    <x v="7"/>
  </r>
  <r>
    <s v="Delhi Daredevils"/>
    <s v="Rajasthan Royals"/>
    <x v="5"/>
    <n v="2013"/>
    <d v="2013-04-06T00:00:00"/>
    <s v="Rajasthan Royals"/>
    <x v="1"/>
    <x v="1"/>
    <x v="4"/>
    <x v="40"/>
    <x v="2"/>
  </r>
  <r>
    <s v="Sunrisers Hyderabad"/>
    <s v="Royal Challengers Bangalore"/>
    <x v="5"/>
    <n v="2013"/>
    <d v="2013-04-07T00:00:00"/>
    <s v="Royal Challengers Bangalore"/>
    <x v="1"/>
    <x v="0"/>
    <x v="8"/>
    <x v="138"/>
    <x v="6"/>
  </r>
  <r>
    <s v="Pune Warriors"/>
    <s v="Kings XI Punjab"/>
    <x v="5"/>
    <n v="2013"/>
    <d v="2013-04-07T00:00:00"/>
    <s v="Pune Warriors"/>
    <x v="1"/>
    <x v="0"/>
    <x v="5"/>
    <x v="139"/>
    <x v="26"/>
  </r>
  <r>
    <s v="Rajasthan Royals"/>
    <s v="Kolkata Knight Riders"/>
    <x v="5"/>
    <n v="2013"/>
    <d v="2013-04-08T00:00:00"/>
    <s v="Kolkata Knight Riders"/>
    <x v="0"/>
    <x v="0"/>
    <x v="4"/>
    <x v="97"/>
    <x v="5"/>
  </r>
  <r>
    <s v="Mumbai Indians"/>
    <s v="Delhi Daredevils"/>
    <x v="5"/>
    <n v="2013"/>
    <d v="2013-04-09T00:00:00"/>
    <s v="Mumbai Indians"/>
    <x v="1"/>
    <x v="1"/>
    <x v="7"/>
    <x v="35"/>
    <x v="3"/>
  </r>
  <r>
    <s v="Royal Challengers Bangalore"/>
    <s v="Sunrisers Hyderabad"/>
    <x v="5"/>
    <n v="2013"/>
    <d v="2013-04-09T00:00:00"/>
    <s v="Sunrisers Hyderabad"/>
    <x v="1"/>
    <x v="0"/>
    <x v="3"/>
    <x v="104"/>
    <x v="0"/>
  </r>
  <r>
    <s v="Kings XI Punjab"/>
    <s v="Chennai Super Kings"/>
    <x v="5"/>
    <n v="2013"/>
    <d v="2013-04-10T00:00:00"/>
    <s v="Chennai Super Kings"/>
    <x v="0"/>
    <x v="1"/>
    <x v="1"/>
    <x v="1"/>
    <x v="1"/>
  </r>
  <r>
    <s v="Royal Challengers Bangalore"/>
    <s v="Kolkata Knight Riders"/>
    <x v="5"/>
    <n v="2013"/>
    <d v="2013-04-11T00:00:00"/>
    <s v="Royal Challengers Bangalore"/>
    <x v="0"/>
    <x v="1"/>
    <x v="3"/>
    <x v="45"/>
    <x v="0"/>
  </r>
  <r>
    <s v="Pune Warriors"/>
    <s v="Rajasthan Royals"/>
    <x v="5"/>
    <n v="2013"/>
    <d v="2013-04-11T00:00:00"/>
    <s v="Rajasthan Royals"/>
    <x v="1"/>
    <x v="0"/>
    <x v="9"/>
    <x v="140"/>
    <x v="26"/>
  </r>
  <r>
    <s v="Delhi Daredevils"/>
    <s v="Sunrisers Hyderabad"/>
    <x v="5"/>
    <n v="2013"/>
    <d v="2013-04-12T00:00:00"/>
    <s v="Delhi Daredevils"/>
    <x v="1"/>
    <x v="0"/>
    <x v="11"/>
    <x v="27"/>
    <x v="2"/>
  </r>
  <r>
    <s v="Chennai Super Kings"/>
    <s v="Royal Challengers Bangalore"/>
    <x v="5"/>
    <n v="2013"/>
    <d v="2013-04-13T00:00:00"/>
    <s v="Chennai Super Kings"/>
    <x v="0"/>
    <x v="1"/>
    <x v="1"/>
    <x v="120"/>
    <x v="7"/>
  </r>
  <r>
    <s v="Mumbai Indians"/>
    <s v="Pune Warriors"/>
    <x v="5"/>
    <n v="2013"/>
    <d v="2013-04-13T00:00:00"/>
    <s v="Mumbai Indians"/>
    <x v="1"/>
    <x v="1"/>
    <x v="7"/>
    <x v="57"/>
    <x v="3"/>
  </r>
  <r>
    <s v="Rajasthan Royals"/>
    <s v="Kings XI Punjab"/>
    <x v="5"/>
    <n v="2013"/>
    <d v="2013-04-14T00:00:00"/>
    <s v="Rajasthan Royals"/>
    <x v="0"/>
    <x v="1"/>
    <x v="4"/>
    <x v="141"/>
    <x v="5"/>
  </r>
  <r>
    <s v="Kolkata Knight Riders"/>
    <s v="Sunrisers Hyderabad"/>
    <x v="5"/>
    <n v="2013"/>
    <d v="2013-04-14T00:00:00"/>
    <s v="Kolkata Knight Riders"/>
    <x v="1"/>
    <x v="1"/>
    <x v="0"/>
    <x v="56"/>
    <x v="4"/>
  </r>
  <r>
    <s v="Chennai Super Kings"/>
    <s v="Pune Warriors"/>
    <x v="5"/>
    <n v="2013"/>
    <d v="2013-04-15T00:00:00"/>
    <s v="Pune Warriors"/>
    <x v="1"/>
    <x v="1"/>
    <x v="9"/>
    <x v="118"/>
    <x v="7"/>
  </r>
  <r>
    <s v="Kings XI Punjab"/>
    <s v="Kolkata Knight Riders"/>
    <x v="5"/>
    <n v="2013"/>
    <d v="2013-04-16T00:00:00"/>
    <s v="Kolkata Knight Riders"/>
    <x v="0"/>
    <x v="0"/>
    <x v="5"/>
    <x v="142"/>
    <x v="1"/>
  </r>
  <r>
    <s v="Royal Challengers Bangalore"/>
    <s v="Delhi Daredevils"/>
    <x v="5"/>
    <n v="2013"/>
    <d v="2013-04-16T00:00:00"/>
    <s v="Royal Challengers Bangalore"/>
    <x v="0"/>
    <x v="0"/>
    <x v="8"/>
    <x v="104"/>
    <x v="0"/>
  </r>
  <r>
    <s v="Rajasthan Royals"/>
    <s v="Mumbai Indians"/>
    <x v="5"/>
    <n v="2013"/>
    <d v="2013-04-17T00:00:00"/>
    <s v="Rajasthan Royals"/>
    <x v="1"/>
    <x v="1"/>
    <x v="4"/>
    <x v="119"/>
    <x v="5"/>
  </r>
  <r>
    <s v="Pune Warriors"/>
    <s v="Sunrisers Hyderabad"/>
    <x v="5"/>
    <n v="2013"/>
    <d v="2013-04-17T00:00:00"/>
    <s v="Pune Warriors"/>
    <x v="0"/>
    <x v="0"/>
    <x v="11"/>
    <x v="27"/>
    <x v="27"/>
  </r>
  <r>
    <s v="Delhi Daredevils"/>
    <s v="Chennai Super Kings"/>
    <x v="5"/>
    <n v="2013"/>
    <d v="2013-04-18T00:00:00"/>
    <s v="Chennai Super Kings"/>
    <x v="1"/>
    <x v="1"/>
    <x v="1"/>
    <x v="1"/>
    <x v="2"/>
  </r>
  <r>
    <s v="Sunrisers Hyderabad"/>
    <s v="Kings XI Punjab"/>
    <x v="5"/>
    <n v="2013"/>
    <d v="2013-04-19T00:00:00"/>
    <s v="Kings XI Punjab"/>
    <x v="1"/>
    <x v="0"/>
    <x v="11"/>
    <x v="138"/>
    <x v="6"/>
  </r>
  <r>
    <s v="Kolkata Knight Riders"/>
    <s v="Chennai Super Kings"/>
    <x v="5"/>
    <n v="2013"/>
    <d v="2013-04-20T00:00:00"/>
    <s v="Kolkata Knight Riders"/>
    <x v="1"/>
    <x v="0"/>
    <x v="1"/>
    <x v="120"/>
    <x v="4"/>
  </r>
  <r>
    <s v="Royal Challengers Bangalore"/>
    <s v="Rajasthan Royals"/>
    <x v="5"/>
    <n v="2013"/>
    <d v="2013-04-20T00:00:00"/>
    <s v="Royal Challengers Bangalore"/>
    <x v="0"/>
    <x v="1"/>
    <x v="3"/>
    <x v="37"/>
    <x v="0"/>
  </r>
  <r>
    <s v="Delhi Daredevils"/>
    <s v="Mumbai Indians"/>
    <x v="5"/>
    <n v="2013"/>
    <d v="2013-04-21T00:00:00"/>
    <s v="Mumbai Indians"/>
    <x v="1"/>
    <x v="0"/>
    <x v="2"/>
    <x v="6"/>
    <x v="2"/>
  </r>
  <r>
    <s v="Kings XI Punjab"/>
    <s v="Pune Warriors"/>
    <x v="5"/>
    <n v="2013"/>
    <d v="2013-04-21T00:00:00"/>
    <s v="Kings XI Punjab"/>
    <x v="0"/>
    <x v="1"/>
    <x v="5"/>
    <x v="143"/>
    <x v="1"/>
  </r>
  <r>
    <s v="Chennai Super Kings"/>
    <s v="Rajasthan Royals"/>
    <x v="5"/>
    <n v="2013"/>
    <d v="2013-04-22T00:00:00"/>
    <s v="Rajasthan Royals"/>
    <x v="1"/>
    <x v="0"/>
    <x v="1"/>
    <x v="1"/>
    <x v="7"/>
  </r>
  <r>
    <s v="Delhi Daredevils"/>
    <s v="Kings XI Punjab"/>
    <x v="5"/>
    <n v="2013"/>
    <d v="2013-04-23T00:00:00"/>
    <s v="Kings XI Punjab"/>
    <x v="0"/>
    <x v="1"/>
    <x v="5"/>
    <x v="89"/>
    <x v="2"/>
  </r>
  <r>
    <s v="Royal Challengers Bangalore"/>
    <s v="Pune Warriors"/>
    <x v="5"/>
    <n v="2013"/>
    <d v="2013-04-23T00:00:00"/>
    <s v="Pune Warriors"/>
    <x v="0"/>
    <x v="0"/>
    <x v="3"/>
    <x v="45"/>
    <x v="0"/>
  </r>
  <r>
    <s v="Kolkata Knight Riders"/>
    <s v="Mumbai Indians"/>
    <x v="5"/>
    <n v="2013"/>
    <d v="2013-04-24T00:00:00"/>
    <s v="Kolkata Knight Riders"/>
    <x v="1"/>
    <x v="0"/>
    <x v="7"/>
    <x v="60"/>
    <x v="4"/>
  </r>
  <r>
    <s v="Chennai Super Kings"/>
    <s v="Sunrisers Hyderabad"/>
    <x v="5"/>
    <n v="2013"/>
    <d v="2013-04-25T00:00:00"/>
    <s v="Sunrisers Hyderabad"/>
    <x v="1"/>
    <x v="0"/>
    <x v="1"/>
    <x v="13"/>
    <x v="7"/>
  </r>
  <r>
    <s v="Kolkata Knight Riders"/>
    <s v="Kings XI Punjab"/>
    <x v="5"/>
    <n v="2013"/>
    <d v="2013-04-26T00:00:00"/>
    <s v="Kings XI Punjab"/>
    <x v="1"/>
    <x v="0"/>
    <x v="0"/>
    <x v="55"/>
    <x v="4"/>
  </r>
  <r>
    <s v="Rajasthan Royals"/>
    <s v="Sunrisers Hyderabad"/>
    <x v="5"/>
    <n v="2013"/>
    <d v="2013-04-27T00:00:00"/>
    <s v="Sunrisers Hyderabad"/>
    <x v="1"/>
    <x v="0"/>
    <x v="4"/>
    <x v="141"/>
    <x v="5"/>
  </r>
  <r>
    <s v="Mumbai Indians"/>
    <s v="Royal Challengers Bangalore"/>
    <x v="5"/>
    <n v="2013"/>
    <d v="2013-04-27T00:00:00"/>
    <s v="Mumbai Indians"/>
    <x v="1"/>
    <x v="1"/>
    <x v="7"/>
    <x v="60"/>
    <x v="3"/>
  </r>
  <r>
    <s v="Chennai Super Kings"/>
    <s v="Kolkata Knight Riders"/>
    <x v="5"/>
    <n v="2013"/>
    <d v="2013-04-28T00:00:00"/>
    <s v="Kolkata Knight Riders"/>
    <x v="0"/>
    <x v="0"/>
    <x v="1"/>
    <x v="1"/>
    <x v="7"/>
  </r>
  <r>
    <s v="Delhi Daredevils"/>
    <s v="Pune Warriors"/>
    <x v="5"/>
    <n v="2013"/>
    <d v="2013-04-28T00:00:00"/>
    <s v="Pune Warriors"/>
    <x v="0"/>
    <x v="0"/>
    <x v="2"/>
    <x v="79"/>
    <x v="28"/>
  </r>
  <r>
    <s v="Mumbai Indians"/>
    <s v="Kings XI Punjab"/>
    <x v="5"/>
    <n v="2013"/>
    <d v="2013-04-29T00:00:00"/>
    <s v="Mumbai Indians"/>
    <x v="1"/>
    <x v="1"/>
    <x v="7"/>
    <x v="57"/>
    <x v="3"/>
  </r>
  <r>
    <s v="Rajasthan Royals"/>
    <s v="Royal Challengers Bangalore"/>
    <x v="5"/>
    <n v="2013"/>
    <d v="2013-04-29T00:00:00"/>
    <s v="Rajasthan Royals"/>
    <x v="0"/>
    <x v="1"/>
    <x v="4"/>
    <x v="144"/>
    <x v="5"/>
  </r>
  <r>
    <s v="Pune Warriors"/>
    <s v="Chennai Super Kings"/>
    <x v="5"/>
    <n v="2013"/>
    <d v="2013-04-30T00:00:00"/>
    <s v="Chennai Super Kings"/>
    <x v="1"/>
    <x v="1"/>
    <x v="1"/>
    <x v="13"/>
    <x v="26"/>
  </r>
  <r>
    <s v="Delhi Daredevils"/>
    <s v="Kolkata Knight Riders"/>
    <x v="5"/>
    <n v="2013"/>
    <d v="2013-05-01T00:00:00"/>
    <s v="Kolkata Knight Riders"/>
    <x v="1"/>
    <x v="0"/>
    <x v="2"/>
    <x v="79"/>
    <x v="28"/>
  </r>
  <r>
    <s v="Sunrisers Hyderabad"/>
    <s v="Mumbai Indians"/>
    <x v="5"/>
    <n v="2013"/>
    <d v="2013-05-01T00:00:00"/>
    <s v="Mumbai Indians"/>
    <x v="1"/>
    <x v="0"/>
    <x v="11"/>
    <x v="105"/>
    <x v="6"/>
  </r>
  <r>
    <s v="Pune Warriors"/>
    <s v="Royal Challengers Bangalore"/>
    <x v="5"/>
    <n v="2013"/>
    <d v="2013-05-02T00:00:00"/>
    <s v="Royal Challengers Bangalore"/>
    <x v="1"/>
    <x v="1"/>
    <x v="3"/>
    <x v="46"/>
    <x v="26"/>
  </r>
  <r>
    <s v="Chennai Super Kings"/>
    <s v="Kings XI Punjab"/>
    <x v="5"/>
    <n v="2013"/>
    <d v="2013-05-02T00:00:00"/>
    <s v="Chennai Super Kings"/>
    <x v="1"/>
    <x v="1"/>
    <x v="1"/>
    <x v="38"/>
    <x v="7"/>
  </r>
  <r>
    <s v="Kolkata Knight Riders"/>
    <s v="Rajasthan Royals"/>
    <x v="5"/>
    <n v="2013"/>
    <d v="2013-05-03T00:00:00"/>
    <s v="Rajasthan Royals"/>
    <x v="1"/>
    <x v="0"/>
    <x v="0"/>
    <x v="8"/>
    <x v="4"/>
  </r>
  <r>
    <s v="Sunrisers Hyderabad"/>
    <s v="Delhi Daredevils"/>
    <x v="5"/>
    <n v="2013"/>
    <d v="2013-05-04T00:00:00"/>
    <s v="Delhi Daredevils"/>
    <x v="1"/>
    <x v="0"/>
    <x v="11"/>
    <x v="145"/>
    <x v="6"/>
  </r>
  <r>
    <s v="Rajasthan Royals"/>
    <s v="Pune Warriors"/>
    <x v="5"/>
    <n v="2013"/>
    <d v="2013-05-05T00:00:00"/>
    <s v="Pune Warriors"/>
    <x v="1"/>
    <x v="0"/>
    <x v="4"/>
    <x v="119"/>
    <x v="5"/>
  </r>
  <r>
    <s v="Mumbai Indians"/>
    <s v="Chennai Super Kings"/>
    <x v="5"/>
    <n v="2013"/>
    <d v="2013-05-05T00:00:00"/>
    <s v="Mumbai Indians"/>
    <x v="1"/>
    <x v="1"/>
    <x v="7"/>
    <x v="146"/>
    <x v="3"/>
  </r>
  <r>
    <s v="Kings XI Punjab"/>
    <s v="Royal Challengers Bangalore"/>
    <x v="5"/>
    <n v="2013"/>
    <d v="2013-05-06T00:00:00"/>
    <s v="Kings XI Punjab"/>
    <x v="0"/>
    <x v="1"/>
    <x v="5"/>
    <x v="143"/>
    <x v="1"/>
  </r>
  <r>
    <s v="Rajasthan Royals"/>
    <s v="Delhi Daredevils"/>
    <x v="5"/>
    <n v="2013"/>
    <d v="2013-05-07T00:00:00"/>
    <s v="Delhi Daredevils"/>
    <x v="1"/>
    <x v="0"/>
    <x v="4"/>
    <x v="119"/>
    <x v="5"/>
  </r>
  <r>
    <s v="Mumbai Indians"/>
    <s v="Kolkata Knight Riders"/>
    <x v="5"/>
    <n v="2013"/>
    <d v="2013-05-07T00:00:00"/>
    <s v="Mumbai Indians"/>
    <x v="1"/>
    <x v="1"/>
    <x v="7"/>
    <x v="41"/>
    <x v="3"/>
  </r>
  <r>
    <s v="Sunrisers Hyderabad"/>
    <s v="Chennai Super Kings"/>
    <x v="5"/>
    <n v="2013"/>
    <d v="2013-05-08T00:00:00"/>
    <s v="Sunrisers Hyderabad"/>
    <x v="0"/>
    <x v="0"/>
    <x v="1"/>
    <x v="38"/>
    <x v="6"/>
  </r>
  <r>
    <s v="Pune Warriors"/>
    <s v="Kolkata Knight Riders"/>
    <x v="5"/>
    <n v="2013"/>
    <d v="2013-05-09T00:00:00"/>
    <s v="Kolkata Knight Riders"/>
    <x v="1"/>
    <x v="1"/>
    <x v="0"/>
    <x v="56"/>
    <x v="26"/>
  </r>
  <r>
    <s v="Kings XI Punjab"/>
    <s v="Rajasthan Royals"/>
    <x v="5"/>
    <n v="2013"/>
    <d v="2013-05-09T00:00:00"/>
    <s v="Rajasthan Royals"/>
    <x v="0"/>
    <x v="1"/>
    <x v="4"/>
    <x v="147"/>
    <x v="1"/>
  </r>
  <r>
    <s v="Delhi Daredevils"/>
    <s v="Royal Challengers Bangalore"/>
    <x v="5"/>
    <n v="2013"/>
    <d v="2013-05-10T00:00:00"/>
    <s v="Delhi Daredevils"/>
    <x v="0"/>
    <x v="0"/>
    <x v="3"/>
    <x v="93"/>
    <x v="2"/>
  </r>
  <r>
    <s v="Pune Warriors"/>
    <s v="Mumbai Indians"/>
    <x v="5"/>
    <n v="2013"/>
    <d v="2013-05-11T00:00:00"/>
    <s v="Pune Warriors"/>
    <x v="1"/>
    <x v="0"/>
    <x v="7"/>
    <x v="146"/>
    <x v="26"/>
  </r>
  <r>
    <s v="Kings XI Punjab"/>
    <s v="Sunrisers Hyderabad"/>
    <x v="5"/>
    <n v="2013"/>
    <d v="2013-05-11T00:00:00"/>
    <s v="Kings XI Punjab"/>
    <x v="0"/>
    <x v="0"/>
    <x v="11"/>
    <x v="148"/>
    <x v="1"/>
  </r>
  <r>
    <s v="Rajasthan Royals"/>
    <s v="Chennai Super Kings"/>
    <x v="5"/>
    <n v="2013"/>
    <d v="2013-05-12T00:00:00"/>
    <s v="Rajasthan Royals"/>
    <x v="0"/>
    <x v="1"/>
    <x v="4"/>
    <x v="5"/>
    <x v="5"/>
  </r>
  <r>
    <s v="Kolkata Knight Riders"/>
    <s v="Royal Challengers Bangalore"/>
    <x v="5"/>
    <n v="2013"/>
    <d v="2013-05-12T00:00:00"/>
    <s v="Kolkata Knight Riders"/>
    <x v="0"/>
    <x v="1"/>
    <x v="0"/>
    <x v="55"/>
    <x v="29"/>
  </r>
  <r>
    <s v="Mumbai Indians"/>
    <s v="Sunrisers Hyderabad"/>
    <x v="5"/>
    <n v="2013"/>
    <d v="2013-05-13T00:00:00"/>
    <s v="Sunrisers Hyderabad"/>
    <x v="1"/>
    <x v="0"/>
    <x v="7"/>
    <x v="91"/>
    <x v="3"/>
  </r>
  <r>
    <s v="Chennai Super Kings"/>
    <s v="Delhi Daredevils"/>
    <x v="5"/>
    <n v="2013"/>
    <d v="2013-05-14T00:00:00"/>
    <s v="Chennai Super Kings"/>
    <x v="1"/>
    <x v="1"/>
    <x v="1"/>
    <x v="13"/>
    <x v="7"/>
  </r>
  <r>
    <s v="Royal Challengers Bangalore"/>
    <s v="Kings XI Punjab"/>
    <x v="5"/>
    <n v="2013"/>
    <d v="2013-05-14T00:00:00"/>
    <s v="Kings XI Punjab"/>
    <x v="0"/>
    <x v="1"/>
    <x v="5"/>
    <x v="11"/>
    <x v="0"/>
  </r>
  <r>
    <s v="Mumbai Indians"/>
    <s v="Rajasthan Royals"/>
    <x v="5"/>
    <n v="2013"/>
    <d v="2013-05-15T00:00:00"/>
    <s v="Rajasthan Royals"/>
    <x v="0"/>
    <x v="0"/>
    <x v="7"/>
    <x v="149"/>
    <x v="3"/>
  </r>
  <r>
    <s v="Kolkata Knight Riders"/>
    <s v="Pune Warriors"/>
    <x v="5"/>
    <n v="2013"/>
    <d v="2013-05-15T00:00:00"/>
    <s v="Kolkata Knight Riders"/>
    <x v="0"/>
    <x v="0"/>
    <x v="9"/>
    <x v="68"/>
    <x v="29"/>
  </r>
  <r>
    <s v="Kings XI Punjab"/>
    <s v="Delhi Daredevils"/>
    <x v="5"/>
    <n v="2013"/>
    <d v="2013-05-16T00:00:00"/>
    <s v="Delhi Daredevils"/>
    <x v="0"/>
    <x v="0"/>
    <x v="5"/>
    <x v="143"/>
    <x v="22"/>
  </r>
  <r>
    <s v="Sunrisers Hyderabad"/>
    <s v="Rajasthan Royals"/>
    <x v="5"/>
    <n v="2013"/>
    <d v="2013-05-17T00:00:00"/>
    <s v="Sunrisers Hyderabad"/>
    <x v="1"/>
    <x v="1"/>
    <x v="11"/>
    <x v="27"/>
    <x v="6"/>
  </r>
  <r>
    <s v="Royal Challengers Bangalore"/>
    <s v="Chennai Super Kings"/>
    <x v="5"/>
    <n v="2013"/>
    <d v="2013-05-18T00:00:00"/>
    <s v="Chennai Super Kings"/>
    <x v="0"/>
    <x v="0"/>
    <x v="3"/>
    <x v="104"/>
    <x v="0"/>
  </r>
  <r>
    <s v="Kings XI Punjab"/>
    <s v="Mumbai Indians"/>
    <x v="5"/>
    <n v="2013"/>
    <d v="2013-05-18T00:00:00"/>
    <s v="Mumbai Indians"/>
    <x v="0"/>
    <x v="0"/>
    <x v="5"/>
    <x v="133"/>
    <x v="22"/>
  </r>
  <r>
    <s v="Sunrisers Hyderabad"/>
    <s v="Kolkata Knight Riders"/>
    <x v="5"/>
    <n v="2013"/>
    <d v="2013-05-19T00:00:00"/>
    <s v="Kolkata Knight Riders"/>
    <x v="1"/>
    <x v="0"/>
    <x v="11"/>
    <x v="148"/>
    <x v="6"/>
  </r>
  <r>
    <s v="Pune Warriors"/>
    <s v="Delhi Daredevils"/>
    <x v="5"/>
    <n v="2013"/>
    <d v="2013-05-19T00:00:00"/>
    <s v="Pune Warriors"/>
    <x v="1"/>
    <x v="1"/>
    <x v="9"/>
    <x v="150"/>
    <x v="26"/>
  </r>
  <r>
    <s v="Chennai Super Kings"/>
    <s v="Mumbai Indians"/>
    <x v="5"/>
    <n v="2013"/>
    <d v="2013-05-21T00:00:00"/>
    <s v="Chennai Super Kings"/>
    <x v="1"/>
    <x v="1"/>
    <x v="1"/>
    <x v="1"/>
    <x v="2"/>
  </r>
  <r>
    <s v="Rajasthan Royals"/>
    <s v="Sunrisers Hyderabad"/>
    <x v="5"/>
    <n v="2013"/>
    <d v="2013-05-22T00:00:00"/>
    <s v="Sunrisers Hyderabad"/>
    <x v="1"/>
    <x v="0"/>
    <x v="4"/>
    <x v="66"/>
    <x v="2"/>
  </r>
  <r>
    <s v="Mumbai Indians"/>
    <s v="Rajasthan Royals"/>
    <x v="5"/>
    <n v="2013"/>
    <d v="2013-05-24T00:00:00"/>
    <s v="Rajasthan Royals"/>
    <x v="1"/>
    <x v="0"/>
    <x v="7"/>
    <x v="62"/>
    <x v="4"/>
  </r>
  <r>
    <s v="Chennai Super Kings"/>
    <s v="Mumbai Indians"/>
    <x v="5"/>
    <n v="2013"/>
    <d v="2013-05-26T00:00:00"/>
    <s v="Mumbai Indians"/>
    <x v="1"/>
    <x v="1"/>
    <x v="7"/>
    <x v="91"/>
    <x v="4"/>
  </r>
  <r>
    <s v="Mumbai Indians"/>
    <s v="Kolkata Knight Riders"/>
    <x v="6"/>
    <n v="2014"/>
    <d v="2014-04-16T00:00:00"/>
    <s v="Kolkata Knight Riders"/>
    <x v="1"/>
    <x v="1"/>
    <x v="0"/>
    <x v="55"/>
    <x v="30"/>
  </r>
  <r>
    <s v="Delhi Daredevils"/>
    <s v="Royal Challengers Bangalore"/>
    <x v="6"/>
    <n v="2014"/>
    <d v="2014-04-17T00:00:00"/>
    <s v="Royal Challengers Bangalore"/>
    <x v="0"/>
    <x v="1"/>
    <x v="3"/>
    <x v="151"/>
    <x v="31"/>
  </r>
  <r>
    <s v="Sunrisers Hyderabad"/>
    <s v="Rajasthan Royals"/>
    <x v="6"/>
    <n v="2014"/>
    <d v="2014-04-18T00:00:00"/>
    <s v="Rajasthan Royals"/>
    <x v="0"/>
    <x v="1"/>
    <x v="4"/>
    <x v="119"/>
    <x v="30"/>
  </r>
  <r>
    <s v="Chennai Super Kings"/>
    <s v="Kings XI Punjab"/>
    <x v="6"/>
    <n v="2014"/>
    <d v="2014-04-18T00:00:00"/>
    <s v="Chennai Super Kings"/>
    <x v="1"/>
    <x v="0"/>
    <x v="5"/>
    <x v="152"/>
    <x v="30"/>
  </r>
  <r>
    <s v="Kolkata Knight Riders"/>
    <s v="Delhi Daredevils"/>
    <x v="6"/>
    <n v="2014"/>
    <d v="2014-04-19T00:00:00"/>
    <s v="Kolkata Knight Riders"/>
    <x v="1"/>
    <x v="0"/>
    <x v="2"/>
    <x v="52"/>
    <x v="32"/>
  </r>
  <r>
    <s v="Royal Challengers Bangalore"/>
    <s v="Mumbai Indians"/>
    <x v="6"/>
    <n v="2014"/>
    <d v="2014-04-19T00:00:00"/>
    <s v="Royal Challengers Bangalore"/>
    <x v="0"/>
    <x v="1"/>
    <x v="3"/>
    <x v="148"/>
    <x v="32"/>
  </r>
  <r>
    <s v="Rajasthan Royals"/>
    <s v="Kings XI Punjab"/>
    <x v="6"/>
    <n v="2014"/>
    <d v="2014-04-20T00:00:00"/>
    <s v="Kings XI Punjab"/>
    <x v="0"/>
    <x v="1"/>
    <x v="5"/>
    <x v="152"/>
    <x v="31"/>
  </r>
  <r>
    <s v="Chennai Super Kings"/>
    <s v="Delhi Daredevils"/>
    <x v="6"/>
    <n v="2014"/>
    <d v="2014-04-21T00:00:00"/>
    <s v="Chennai Super Kings"/>
    <x v="1"/>
    <x v="1"/>
    <x v="1"/>
    <x v="38"/>
    <x v="30"/>
  </r>
  <r>
    <s v="Kings XI Punjab"/>
    <s v="Sunrisers Hyderabad"/>
    <x v="6"/>
    <n v="2014"/>
    <d v="2014-04-22T00:00:00"/>
    <s v="Sunrisers Hyderabad"/>
    <x v="0"/>
    <x v="0"/>
    <x v="5"/>
    <x v="152"/>
    <x v="31"/>
  </r>
  <r>
    <s v="Rajasthan Royals"/>
    <s v="Chennai Super Kings"/>
    <x v="6"/>
    <n v="2014"/>
    <d v="2014-04-23T00:00:00"/>
    <s v="Rajasthan Royals"/>
    <x v="0"/>
    <x v="0"/>
    <x v="1"/>
    <x v="120"/>
    <x v="32"/>
  </r>
  <r>
    <s v="Royal Challengers Bangalore"/>
    <s v="Kolkata Knight Riders"/>
    <x v="6"/>
    <n v="2014"/>
    <d v="2014-04-24T00:00:00"/>
    <s v="Royal Challengers Bangalore"/>
    <x v="0"/>
    <x v="0"/>
    <x v="0"/>
    <x v="153"/>
    <x v="31"/>
  </r>
  <r>
    <s v="Sunrisers Hyderabad"/>
    <s v="Delhi Daredevils"/>
    <x v="6"/>
    <n v="2014"/>
    <d v="2014-04-25T00:00:00"/>
    <s v="Sunrisers Hyderabad"/>
    <x v="1"/>
    <x v="1"/>
    <x v="11"/>
    <x v="140"/>
    <x v="32"/>
  </r>
  <r>
    <s v="Chennai Super Kings"/>
    <s v="Mumbai Indians"/>
    <x v="6"/>
    <n v="2014"/>
    <d v="2014-04-25T00:00:00"/>
    <s v="Mumbai Indians"/>
    <x v="1"/>
    <x v="0"/>
    <x v="1"/>
    <x v="154"/>
    <x v="32"/>
  </r>
  <r>
    <s v="Rajasthan Royals"/>
    <s v="Royal Challengers Bangalore"/>
    <x v="6"/>
    <n v="2014"/>
    <d v="2014-04-26T00:00:00"/>
    <s v="Rajasthan Royals"/>
    <x v="0"/>
    <x v="1"/>
    <x v="4"/>
    <x v="155"/>
    <x v="30"/>
  </r>
  <r>
    <s v="Kolkata Knight Riders"/>
    <s v="Kings XI Punjab"/>
    <x v="6"/>
    <n v="2014"/>
    <d v="2014-04-26T00:00:00"/>
    <s v="Kolkata Knight Riders"/>
    <x v="0"/>
    <x v="0"/>
    <x v="5"/>
    <x v="156"/>
    <x v="30"/>
  </r>
  <r>
    <s v="Sunrisers Hyderabad"/>
    <s v="Chennai Super Kings"/>
    <x v="6"/>
    <n v="2014"/>
    <d v="2014-04-27T00:00:00"/>
    <s v="Sunrisers Hyderabad"/>
    <x v="1"/>
    <x v="0"/>
    <x v="1"/>
    <x v="60"/>
    <x v="31"/>
  </r>
  <r>
    <s v="Delhi Daredevils"/>
    <s v="Mumbai Indians"/>
    <x v="6"/>
    <n v="2014"/>
    <d v="2014-04-27T00:00:00"/>
    <s v="Mumbai Indians"/>
    <x v="1"/>
    <x v="0"/>
    <x v="2"/>
    <x v="81"/>
    <x v="31"/>
  </r>
  <r>
    <s v="Kings XI Punjab"/>
    <s v="Royal Challengers Bangalore"/>
    <x v="6"/>
    <n v="2014"/>
    <d v="2014-04-28T00:00:00"/>
    <s v="Kings XI Punjab"/>
    <x v="0"/>
    <x v="1"/>
    <x v="5"/>
    <x v="156"/>
    <x v="32"/>
  </r>
  <r>
    <s v="Kolkata Knight Riders"/>
    <s v="Rajasthan Royals"/>
    <x v="6"/>
    <n v="2014"/>
    <d v="2014-04-29T00:00:00"/>
    <s v="Rajasthan Royals"/>
    <x v="1"/>
    <x v="0"/>
    <x v="8"/>
    <x v="141"/>
    <x v="30"/>
  </r>
  <r>
    <s v="Mumbai Indians"/>
    <s v="Sunrisers Hyderabad"/>
    <x v="6"/>
    <n v="2014"/>
    <d v="2014-04-30T00:00:00"/>
    <s v="Mumbai Indians"/>
    <x v="0"/>
    <x v="0"/>
    <x v="11"/>
    <x v="157"/>
    <x v="32"/>
  </r>
  <r>
    <s v="Chennai Super Kings"/>
    <s v="Kolkata Knight Riders"/>
    <x v="6"/>
    <n v="2014"/>
    <d v="2014-05-02T00:00:00"/>
    <s v="Chennai Super Kings"/>
    <x v="1"/>
    <x v="1"/>
    <x v="1"/>
    <x v="120"/>
    <x v="29"/>
  </r>
  <r>
    <s v="Mumbai Indians"/>
    <s v="Kings XI Punjab"/>
    <x v="6"/>
    <n v="2014"/>
    <d v="2014-05-03T00:00:00"/>
    <s v="Kings XI Punjab"/>
    <x v="1"/>
    <x v="0"/>
    <x v="7"/>
    <x v="158"/>
    <x v="3"/>
  </r>
  <r>
    <s v="Delhi Daredevils"/>
    <s v="Rajasthan Royals"/>
    <x v="6"/>
    <n v="2014"/>
    <d v="2014-05-03T00:00:00"/>
    <s v="Rajasthan Royals"/>
    <x v="0"/>
    <x v="1"/>
    <x v="4"/>
    <x v="159"/>
    <x v="2"/>
  </r>
  <r>
    <s v="Royal Challengers Bangalore"/>
    <s v="Sunrisers Hyderabad"/>
    <x v="6"/>
    <n v="2014"/>
    <d v="2014-05-04T00:00:00"/>
    <s v="Royal Challengers Bangalore"/>
    <x v="0"/>
    <x v="1"/>
    <x v="3"/>
    <x v="46"/>
    <x v="0"/>
  </r>
  <r>
    <s v="Delhi Daredevils"/>
    <s v="Chennai Super Kings"/>
    <x v="6"/>
    <n v="2014"/>
    <d v="2014-05-05T00:00:00"/>
    <s v="Chennai Super Kings"/>
    <x v="0"/>
    <x v="1"/>
    <x v="1"/>
    <x v="60"/>
    <x v="2"/>
  </r>
  <r>
    <s v="Rajasthan Royals"/>
    <s v="Kolkata Knight Riders"/>
    <x v="6"/>
    <n v="2014"/>
    <d v="2014-05-05T00:00:00"/>
    <s v="Kolkata Knight Riders"/>
    <x v="0"/>
    <x v="0"/>
    <x v="4"/>
    <x v="155"/>
    <x v="18"/>
  </r>
  <r>
    <s v="Mumbai Indians"/>
    <s v="Royal Challengers Bangalore"/>
    <x v="6"/>
    <n v="2014"/>
    <d v="2014-05-06T00:00:00"/>
    <s v="Royal Challengers Bangalore"/>
    <x v="0"/>
    <x v="0"/>
    <x v="7"/>
    <x v="57"/>
    <x v="3"/>
  </r>
  <r>
    <s v="Kings XI Punjab"/>
    <s v="Chennai Super Kings"/>
    <x v="6"/>
    <n v="2014"/>
    <d v="2014-05-07T00:00:00"/>
    <s v="Chennai Super Kings"/>
    <x v="0"/>
    <x v="0"/>
    <x v="5"/>
    <x v="152"/>
    <x v="19"/>
  </r>
  <r>
    <s v="Delhi Daredevils"/>
    <s v="Kolkata Knight Riders"/>
    <x v="6"/>
    <n v="2014"/>
    <d v="2014-05-07T00:00:00"/>
    <s v="Delhi Daredevils"/>
    <x v="1"/>
    <x v="0"/>
    <x v="0"/>
    <x v="56"/>
    <x v="2"/>
  </r>
  <r>
    <s v="Rajasthan Royals"/>
    <s v="Sunrisers Hyderabad"/>
    <x v="6"/>
    <n v="2014"/>
    <d v="2014-05-08T00:00:00"/>
    <s v="Rajasthan Royals"/>
    <x v="0"/>
    <x v="0"/>
    <x v="11"/>
    <x v="157"/>
    <x v="18"/>
  </r>
  <r>
    <s v="Royal Challengers Bangalore"/>
    <s v="Kings XI Punjab"/>
    <x v="6"/>
    <n v="2014"/>
    <d v="2014-05-09T00:00:00"/>
    <s v="Royal Challengers Bangalore"/>
    <x v="0"/>
    <x v="0"/>
    <x v="5"/>
    <x v="156"/>
    <x v="0"/>
  </r>
  <r>
    <s v="Mumbai Indians"/>
    <s v="Chennai Super Kings"/>
    <x v="6"/>
    <n v="2014"/>
    <d v="2014-05-10T00:00:00"/>
    <s v="Chennai Super Kings"/>
    <x v="0"/>
    <x v="1"/>
    <x v="1"/>
    <x v="60"/>
    <x v="3"/>
  </r>
  <r>
    <s v="Delhi Daredevils"/>
    <s v="Sunrisers Hyderabad"/>
    <x v="6"/>
    <n v="2014"/>
    <d v="2014-05-10T00:00:00"/>
    <s v="Sunrisers Hyderabad"/>
    <x v="0"/>
    <x v="1"/>
    <x v="11"/>
    <x v="101"/>
    <x v="2"/>
  </r>
  <r>
    <s v="Royal Challengers Bangalore"/>
    <s v="Rajasthan Royals"/>
    <x v="6"/>
    <n v="2014"/>
    <d v="2014-05-11T00:00:00"/>
    <s v="Royal Challengers Bangalore"/>
    <x v="1"/>
    <x v="0"/>
    <x v="4"/>
    <x v="141"/>
    <x v="0"/>
  </r>
  <r>
    <s v="Kings XI Punjab"/>
    <s v="Kolkata Knight Riders"/>
    <x v="6"/>
    <n v="2014"/>
    <d v="2014-05-11T00:00:00"/>
    <s v="Kolkata Knight Riders"/>
    <x v="0"/>
    <x v="1"/>
    <x v="0"/>
    <x v="56"/>
    <x v="19"/>
  </r>
  <r>
    <s v="Sunrisers Hyderabad"/>
    <s v="Mumbai Indians"/>
    <x v="6"/>
    <n v="2014"/>
    <d v="2014-05-12T00:00:00"/>
    <s v="Sunrisers Hyderabad"/>
    <x v="1"/>
    <x v="0"/>
    <x v="7"/>
    <x v="83"/>
    <x v="6"/>
  </r>
  <r>
    <s v="Royal Challengers Bangalore"/>
    <s v="Delhi Daredevils"/>
    <x v="6"/>
    <n v="2014"/>
    <d v="2014-05-13T00:00:00"/>
    <s v="Delhi Daredevils"/>
    <x v="0"/>
    <x v="0"/>
    <x v="3"/>
    <x v="53"/>
    <x v="0"/>
  </r>
  <r>
    <s v="Chennai Super Kings"/>
    <s v="Rajasthan Royals"/>
    <x v="6"/>
    <n v="2014"/>
    <d v="2014-05-13T00:00:00"/>
    <s v="Rajasthan Royals"/>
    <x v="1"/>
    <x v="0"/>
    <x v="1"/>
    <x v="120"/>
    <x v="29"/>
  </r>
  <r>
    <s v="Kolkata Knight Riders"/>
    <s v="Mumbai Indians"/>
    <x v="6"/>
    <n v="2014"/>
    <d v="2014-05-14T00:00:00"/>
    <s v="Kolkata Knight Riders"/>
    <x v="0"/>
    <x v="1"/>
    <x v="0"/>
    <x v="75"/>
    <x v="19"/>
  </r>
  <r>
    <s v="Sunrisers Hyderabad"/>
    <s v="Kings XI Punjab"/>
    <x v="6"/>
    <n v="2014"/>
    <d v="2014-05-14T00:00:00"/>
    <s v="Kings XI Punjab"/>
    <x v="0"/>
    <x v="1"/>
    <x v="5"/>
    <x v="113"/>
    <x v="6"/>
  </r>
  <r>
    <s v="Rajasthan Royals"/>
    <s v="Delhi Daredevils"/>
    <x v="6"/>
    <n v="2014"/>
    <d v="2014-05-15T00:00:00"/>
    <s v="Delhi Daredevils"/>
    <x v="0"/>
    <x v="0"/>
    <x v="4"/>
    <x v="119"/>
    <x v="18"/>
  </r>
  <r>
    <s v="Chennai Super Kings"/>
    <s v="Royal Challengers Bangalore"/>
    <x v="6"/>
    <n v="2014"/>
    <d v="2014-05-18T00:00:00"/>
    <s v="Chennai Super Kings"/>
    <x v="1"/>
    <x v="0"/>
    <x v="3"/>
    <x v="46"/>
    <x v="29"/>
  </r>
  <r>
    <s v="Sunrisers Hyderabad"/>
    <s v="Kolkata Knight Riders"/>
    <x v="6"/>
    <n v="2014"/>
    <d v="2014-05-18T00:00:00"/>
    <s v="Sunrisers Hyderabad"/>
    <x v="1"/>
    <x v="0"/>
    <x v="0"/>
    <x v="136"/>
    <x v="6"/>
  </r>
  <r>
    <s v="Rajasthan Royals"/>
    <s v="Mumbai Indians"/>
    <x v="6"/>
    <n v="2014"/>
    <d v="2014-05-19T00:00:00"/>
    <s v="Mumbai Indians"/>
    <x v="1"/>
    <x v="1"/>
    <x v="7"/>
    <x v="1"/>
    <x v="18"/>
  </r>
  <r>
    <s v="Delhi Daredevils"/>
    <s v="Kings XI Punjab"/>
    <x v="6"/>
    <n v="2014"/>
    <d v="2014-05-19T00:00:00"/>
    <s v="Kings XI Punjab"/>
    <x v="0"/>
    <x v="1"/>
    <x v="5"/>
    <x v="160"/>
    <x v="2"/>
  </r>
  <r>
    <s v="Kolkata Knight Riders"/>
    <s v="Chennai Super Kings"/>
    <x v="6"/>
    <n v="2014"/>
    <d v="2014-05-20T00:00:00"/>
    <s v="Kolkata Knight Riders"/>
    <x v="0"/>
    <x v="1"/>
    <x v="0"/>
    <x v="75"/>
    <x v="4"/>
  </r>
  <r>
    <s v="Sunrisers Hyderabad"/>
    <s v="Royal Challengers Bangalore"/>
    <x v="6"/>
    <n v="2014"/>
    <d v="2014-05-20T00:00:00"/>
    <s v="Royal Challengers Bangalore"/>
    <x v="1"/>
    <x v="0"/>
    <x v="11"/>
    <x v="79"/>
    <x v="6"/>
  </r>
  <r>
    <s v="Kings XI Punjab"/>
    <s v="Mumbai Indians"/>
    <x v="6"/>
    <n v="2014"/>
    <d v="2014-05-21T00:00:00"/>
    <s v="Mumbai Indians"/>
    <x v="0"/>
    <x v="1"/>
    <x v="7"/>
    <x v="161"/>
    <x v="1"/>
  </r>
  <r>
    <s v="Kolkata Knight Riders"/>
    <s v="Royal Challengers Bangalore"/>
    <x v="6"/>
    <n v="2014"/>
    <d v="2014-05-22T00:00:00"/>
    <s v="Royal Challengers Bangalore"/>
    <x v="0"/>
    <x v="0"/>
    <x v="0"/>
    <x v="75"/>
    <x v="4"/>
  </r>
  <r>
    <s v="Chennai Super Kings"/>
    <s v="Sunrisers Hyderabad"/>
    <x v="6"/>
    <n v="2014"/>
    <d v="2014-05-22T00:00:00"/>
    <s v="Sunrisers Hyderabad"/>
    <x v="0"/>
    <x v="1"/>
    <x v="11"/>
    <x v="79"/>
    <x v="29"/>
  </r>
  <r>
    <s v="Kings XI Punjab"/>
    <s v="Rajasthan Royals"/>
    <x v="6"/>
    <n v="2014"/>
    <d v="2014-05-23T00:00:00"/>
    <s v="Rajasthan Royals"/>
    <x v="0"/>
    <x v="0"/>
    <x v="5"/>
    <x v="17"/>
    <x v="1"/>
  </r>
  <r>
    <s v="Mumbai Indians"/>
    <s v="Delhi Daredevils"/>
    <x v="6"/>
    <n v="2014"/>
    <d v="2014-05-23T00:00:00"/>
    <s v="Delhi Daredevils"/>
    <x v="0"/>
    <x v="0"/>
    <x v="7"/>
    <x v="1"/>
    <x v="3"/>
  </r>
  <r>
    <s v="Royal Challengers Bangalore"/>
    <s v="Chennai Super Kings"/>
    <x v="6"/>
    <n v="2014"/>
    <d v="2014-05-24T00:00:00"/>
    <s v="Chennai Super Kings"/>
    <x v="0"/>
    <x v="1"/>
    <x v="1"/>
    <x v="13"/>
    <x v="0"/>
  </r>
  <r>
    <s v="Kolkata Knight Riders"/>
    <s v="Sunrisers Hyderabad"/>
    <x v="6"/>
    <n v="2014"/>
    <d v="2014-05-24T00:00:00"/>
    <s v="Kolkata Knight Riders"/>
    <x v="0"/>
    <x v="1"/>
    <x v="0"/>
    <x v="8"/>
    <x v="4"/>
  </r>
  <r>
    <s v="Kings XI Punjab"/>
    <s v="Delhi Daredevils"/>
    <x v="6"/>
    <n v="2014"/>
    <d v="2014-05-25T00:00:00"/>
    <s v="Kings XI Punjab"/>
    <x v="0"/>
    <x v="1"/>
    <x v="5"/>
    <x v="139"/>
    <x v="1"/>
  </r>
  <r>
    <s v="Mumbai Indians"/>
    <s v="Rajasthan Royals"/>
    <x v="6"/>
    <n v="2014"/>
    <d v="2014-05-25T00:00:00"/>
    <s v="Mumbai Indians"/>
    <x v="0"/>
    <x v="1"/>
    <x v="7"/>
    <x v="158"/>
    <x v="3"/>
  </r>
  <r>
    <s v="Kings XI Punjab"/>
    <s v="Kolkata Knight Riders"/>
    <x v="6"/>
    <n v="2014"/>
    <d v="2014-05-27T00:00:00"/>
    <s v="Kings XI Punjab"/>
    <x v="0"/>
    <x v="0"/>
    <x v="0"/>
    <x v="136"/>
    <x v="4"/>
  </r>
  <r>
    <s v="Chennai Super Kings"/>
    <s v="Mumbai Indians"/>
    <x v="6"/>
    <n v="2014"/>
    <d v="2014-05-28T00:00:00"/>
    <s v="Chennai Super Kings"/>
    <x v="0"/>
    <x v="1"/>
    <x v="1"/>
    <x v="38"/>
    <x v="17"/>
  </r>
  <r>
    <s v="Chennai Super Kings"/>
    <s v="Kings XI Punjab"/>
    <x v="6"/>
    <n v="2014"/>
    <d v="2014-05-30T00:00:00"/>
    <s v="Chennai Super Kings"/>
    <x v="0"/>
    <x v="0"/>
    <x v="5"/>
    <x v="6"/>
    <x v="3"/>
  </r>
  <r>
    <s v="Kolkata Knight Riders"/>
    <s v="Kings XI Punjab"/>
    <x v="6"/>
    <n v="2014"/>
    <d v="2014-06-01T00:00:00"/>
    <s v="Kolkata Knight Riders"/>
    <x v="0"/>
    <x v="1"/>
    <x v="0"/>
    <x v="68"/>
    <x v="0"/>
  </r>
  <r>
    <s v="Kolkata Knight Riders"/>
    <s v="Mumbai Indians"/>
    <x v="7"/>
    <n v="2015"/>
    <d v="2015-04-08T00:00:00"/>
    <s v="Kolkata Knight Riders"/>
    <x v="0"/>
    <x v="1"/>
    <x v="0"/>
    <x v="122"/>
    <x v="4"/>
  </r>
  <r>
    <s v="Chennai Super Kings"/>
    <s v="Delhi Daredevils"/>
    <x v="7"/>
    <n v="2015"/>
    <d v="2015-04-09T00:00:00"/>
    <s v="Delhi Daredevils"/>
    <x v="0"/>
    <x v="0"/>
    <x v="1"/>
    <x v="23"/>
    <x v="7"/>
  </r>
  <r>
    <s v="Kings XI Punjab"/>
    <s v="Rajasthan Royals"/>
    <x v="7"/>
    <n v="2015"/>
    <d v="2015-04-10T00:00:00"/>
    <s v="Kings XI Punjab"/>
    <x v="0"/>
    <x v="0"/>
    <x v="4"/>
    <x v="141"/>
    <x v="27"/>
  </r>
  <r>
    <s v="Chennai Super Kings"/>
    <s v="Sunrisers Hyderabad"/>
    <x v="7"/>
    <n v="2015"/>
    <d v="2015-04-11T00:00:00"/>
    <s v="Chennai Super Kings"/>
    <x v="1"/>
    <x v="1"/>
    <x v="1"/>
    <x v="0"/>
    <x v="7"/>
  </r>
  <r>
    <s v="Kolkata Knight Riders"/>
    <s v="Royal Challengers Bangalore"/>
    <x v="7"/>
    <n v="2015"/>
    <d v="2015-04-11T00:00:00"/>
    <s v="Royal Challengers Bangalore"/>
    <x v="0"/>
    <x v="1"/>
    <x v="3"/>
    <x v="45"/>
    <x v="4"/>
  </r>
  <r>
    <s v="Mumbai Indians"/>
    <s v="Kings XI Punjab"/>
    <x v="7"/>
    <n v="2015"/>
    <d v="2015-04-12T00:00:00"/>
    <s v="Mumbai Indians"/>
    <x v="0"/>
    <x v="0"/>
    <x v="5"/>
    <x v="162"/>
    <x v="3"/>
  </r>
  <r>
    <s v="Delhi Daredevils"/>
    <s v="Rajasthan Royals"/>
    <x v="7"/>
    <n v="2015"/>
    <d v="2015-04-12T00:00:00"/>
    <s v="Rajasthan Royals"/>
    <x v="0"/>
    <x v="1"/>
    <x v="4"/>
    <x v="163"/>
    <x v="2"/>
  </r>
  <r>
    <s v="Royal Challengers Bangalore"/>
    <s v="Sunrisers Hyderabad"/>
    <x v="7"/>
    <n v="2015"/>
    <d v="2015-04-13T00:00:00"/>
    <s v="Sunrisers Hyderabad"/>
    <x v="0"/>
    <x v="1"/>
    <x v="11"/>
    <x v="79"/>
    <x v="0"/>
  </r>
  <r>
    <s v="Rajasthan Royals"/>
    <s v="Mumbai Indians"/>
    <x v="7"/>
    <n v="2015"/>
    <d v="2015-04-14T00:00:00"/>
    <s v="Mumbai Indians"/>
    <x v="1"/>
    <x v="0"/>
    <x v="4"/>
    <x v="118"/>
    <x v="18"/>
  </r>
  <r>
    <s v="Kings XI Punjab"/>
    <s v="Delhi Daredevils"/>
    <x v="7"/>
    <n v="2015"/>
    <d v="2015-04-15T00:00:00"/>
    <s v="Kings XI Punjab"/>
    <x v="1"/>
    <x v="0"/>
    <x v="2"/>
    <x v="164"/>
    <x v="27"/>
  </r>
  <r>
    <s v="Sunrisers Hyderabad"/>
    <s v="Rajasthan Royals"/>
    <x v="7"/>
    <n v="2015"/>
    <d v="2015-04-16T00:00:00"/>
    <s v="Rajasthan Royals"/>
    <x v="0"/>
    <x v="1"/>
    <x v="4"/>
    <x v="119"/>
    <x v="25"/>
  </r>
  <r>
    <s v="Mumbai Indians"/>
    <s v="Chennai Super Kings"/>
    <x v="7"/>
    <n v="2015"/>
    <d v="2015-04-17T00:00:00"/>
    <s v="Mumbai Indians"/>
    <x v="1"/>
    <x v="0"/>
    <x v="1"/>
    <x v="23"/>
    <x v="3"/>
  </r>
  <r>
    <s v="Kings XI Punjab"/>
    <s v="Kolkata Knight Riders"/>
    <x v="7"/>
    <n v="2015"/>
    <d v="2015-04-18T00:00:00"/>
    <s v="Kolkata Knight Riders"/>
    <x v="0"/>
    <x v="1"/>
    <x v="0"/>
    <x v="165"/>
    <x v="27"/>
  </r>
  <r>
    <s v="Sunrisers Hyderabad"/>
    <s v="Delhi Daredevils"/>
    <x v="7"/>
    <n v="2015"/>
    <d v="2015-04-18T00:00:00"/>
    <s v="Delhi Daredevils"/>
    <x v="1"/>
    <x v="1"/>
    <x v="2"/>
    <x v="52"/>
    <x v="25"/>
  </r>
  <r>
    <s v="Rajasthan Royals"/>
    <s v="Chennai Super Kings"/>
    <x v="7"/>
    <n v="2015"/>
    <d v="2015-04-19T00:00:00"/>
    <s v="Chennai Super Kings"/>
    <x v="1"/>
    <x v="0"/>
    <x v="4"/>
    <x v="119"/>
    <x v="18"/>
  </r>
  <r>
    <s v="Royal Challengers Bangalore"/>
    <s v="Mumbai Indians"/>
    <x v="7"/>
    <n v="2015"/>
    <d v="2015-04-19T00:00:00"/>
    <s v="Royal Challengers Bangalore"/>
    <x v="0"/>
    <x v="0"/>
    <x v="7"/>
    <x v="62"/>
    <x v="0"/>
  </r>
  <r>
    <s v="Delhi Daredevils"/>
    <s v="Kolkata Knight Riders"/>
    <x v="7"/>
    <n v="2015"/>
    <d v="2015-04-20T00:00:00"/>
    <s v="Kolkata Knight Riders"/>
    <x v="0"/>
    <x v="1"/>
    <x v="0"/>
    <x v="136"/>
    <x v="2"/>
  </r>
  <r>
    <s v="Rajasthan Royals"/>
    <s v="Kings XI Punjab"/>
    <x v="7"/>
    <n v="2015"/>
    <d v="2015-04-21T00:00:00"/>
    <s v="Kings XI Punjab"/>
    <x v="0"/>
    <x v="0"/>
    <x v="8"/>
    <x v="17"/>
    <x v="18"/>
  </r>
  <r>
    <s v="Sunrisers Hyderabad"/>
    <s v="Kolkata Knight Riders"/>
    <x v="7"/>
    <n v="2015"/>
    <d v="2015-04-22T00:00:00"/>
    <s v="Kolkata Knight Riders"/>
    <x v="0"/>
    <x v="0"/>
    <x v="11"/>
    <x v="79"/>
    <x v="25"/>
  </r>
  <r>
    <s v="Royal Challengers Bangalore"/>
    <s v="Chennai Super Kings"/>
    <x v="7"/>
    <n v="2015"/>
    <d v="2015-04-22T00:00:00"/>
    <s v="Royal Challengers Bangalore"/>
    <x v="0"/>
    <x v="0"/>
    <x v="1"/>
    <x v="38"/>
    <x v="0"/>
  </r>
  <r>
    <s v="Delhi Daredevils"/>
    <s v="Mumbai Indians"/>
    <x v="7"/>
    <n v="2015"/>
    <d v="2015-04-23T00:00:00"/>
    <s v="Mumbai Indians"/>
    <x v="0"/>
    <x v="0"/>
    <x v="2"/>
    <x v="166"/>
    <x v="2"/>
  </r>
  <r>
    <s v="Rajasthan Royals"/>
    <s v="Royal Challengers Bangalore"/>
    <x v="7"/>
    <n v="2015"/>
    <d v="2015-04-24T00:00:00"/>
    <s v="Royal Challengers Bangalore"/>
    <x v="0"/>
    <x v="1"/>
    <x v="3"/>
    <x v="167"/>
    <x v="18"/>
  </r>
  <r>
    <s v="Mumbai Indians"/>
    <s v="Sunrisers Hyderabad"/>
    <x v="7"/>
    <n v="2015"/>
    <d v="2015-04-25T00:00:00"/>
    <s v="Mumbai Indians"/>
    <x v="1"/>
    <x v="1"/>
    <x v="7"/>
    <x v="80"/>
    <x v="3"/>
  </r>
  <r>
    <s v="Chennai Super Kings"/>
    <s v="Kings XI Punjab"/>
    <x v="7"/>
    <n v="2015"/>
    <d v="2015-04-25T00:00:00"/>
    <s v="Chennai Super Kings"/>
    <x v="1"/>
    <x v="1"/>
    <x v="1"/>
    <x v="0"/>
    <x v="7"/>
  </r>
  <r>
    <s v="Delhi Daredevils"/>
    <s v="Royal Challengers Bangalore"/>
    <x v="7"/>
    <n v="2015"/>
    <d v="2015-04-26T00:00:00"/>
    <s v="Royal Challengers Bangalore"/>
    <x v="0"/>
    <x v="1"/>
    <x v="3"/>
    <x v="168"/>
    <x v="2"/>
  </r>
  <r>
    <s v="Kings XI Punjab"/>
    <s v="Sunrisers Hyderabad"/>
    <x v="7"/>
    <n v="2015"/>
    <d v="2015-04-27T00:00:00"/>
    <s v="Kings XI Punjab"/>
    <x v="0"/>
    <x v="0"/>
    <x v="11"/>
    <x v="169"/>
    <x v="1"/>
  </r>
  <r>
    <s v="Chennai Super Kings"/>
    <s v="Kolkata Knight Riders"/>
    <x v="7"/>
    <n v="2015"/>
    <d v="2015-04-28T00:00:00"/>
    <s v="Kolkata Knight Riders"/>
    <x v="0"/>
    <x v="0"/>
    <x v="1"/>
    <x v="30"/>
    <x v="7"/>
  </r>
  <r>
    <s v="Royal Challengers Bangalore"/>
    <s v="Rajasthan Royals"/>
    <x v="7"/>
    <n v="2015"/>
    <d v="2015-04-29T00:00:00"/>
    <s v="Rajasthan Royals"/>
    <x v="0"/>
    <x v="0"/>
    <x v="8"/>
    <x v="115"/>
    <x v="0"/>
  </r>
  <r>
    <s v="Kolkata Knight Riders"/>
    <s v="Chennai Super Kings"/>
    <x v="7"/>
    <n v="2015"/>
    <d v="2015-04-30T00:00:00"/>
    <s v="Kolkata Knight Riders"/>
    <x v="0"/>
    <x v="1"/>
    <x v="0"/>
    <x v="165"/>
    <x v="4"/>
  </r>
  <r>
    <s v="Delhi Daredevils"/>
    <s v="Kings XI Punjab"/>
    <x v="7"/>
    <n v="2015"/>
    <d v="2015-05-01T00:00:00"/>
    <s v="Delhi Daredevils"/>
    <x v="0"/>
    <x v="1"/>
    <x v="2"/>
    <x v="170"/>
    <x v="2"/>
  </r>
  <r>
    <s v="Mumbai Indians"/>
    <s v="Rajasthan Royals"/>
    <x v="7"/>
    <n v="2015"/>
    <d v="2015-05-01T00:00:00"/>
    <s v="Rajasthan Royals"/>
    <x v="0"/>
    <x v="0"/>
    <x v="7"/>
    <x v="83"/>
    <x v="3"/>
  </r>
  <r>
    <s v="Sunrisers Hyderabad"/>
    <s v="Chennai Super Kings"/>
    <x v="7"/>
    <n v="2015"/>
    <d v="2015-05-02T00:00:00"/>
    <s v="Chennai Super Kings"/>
    <x v="0"/>
    <x v="0"/>
    <x v="11"/>
    <x v="79"/>
    <x v="6"/>
  </r>
  <r>
    <s v="Royal Challengers Bangalore"/>
    <s v="Kolkata Knight Riders"/>
    <x v="7"/>
    <n v="2015"/>
    <d v="2015-05-02T00:00:00"/>
    <s v="Royal Challengers Bangalore"/>
    <x v="0"/>
    <x v="1"/>
    <x v="3"/>
    <x v="131"/>
    <x v="0"/>
  </r>
  <r>
    <s v="Rajasthan Royals"/>
    <s v="Delhi Daredevils"/>
    <x v="7"/>
    <n v="2015"/>
    <d v="2015-05-03T00:00:00"/>
    <s v="Delhi Daredevils"/>
    <x v="0"/>
    <x v="0"/>
    <x v="4"/>
    <x v="119"/>
    <x v="17"/>
  </r>
  <r>
    <s v="Kings XI Punjab"/>
    <s v="Mumbai Indians"/>
    <x v="7"/>
    <n v="2015"/>
    <d v="2015-05-03T00:00:00"/>
    <s v="Mumbai Indians"/>
    <x v="1"/>
    <x v="1"/>
    <x v="7"/>
    <x v="161"/>
    <x v="1"/>
  </r>
  <r>
    <s v="Chennai Super Kings"/>
    <s v="Royal Challengers Bangalore"/>
    <x v="7"/>
    <n v="2015"/>
    <d v="2015-05-04T00:00:00"/>
    <s v="Chennai Super Kings"/>
    <x v="1"/>
    <x v="1"/>
    <x v="1"/>
    <x v="38"/>
    <x v="7"/>
  </r>
  <r>
    <s v="Kolkata Knight Riders"/>
    <s v="Sunrisers Hyderabad"/>
    <x v="7"/>
    <n v="2015"/>
    <d v="2015-05-04T00:00:00"/>
    <s v="Sunrisers Hyderabad"/>
    <x v="0"/>
    <x v="0"/>
    <x v="0"/>
    <x v="136"/>
    <x v="4"/>
  </r>
  <r>
    <s v="Mumbai Indians"/>
    <s v="Delhi Daredevils"/>
    <x v="7"/>
    <n v="2015"/>
    <d v="2015-05-05T00:00:00"/>
    <s v="Delhi Daredevils"/>
    <x v="1"/>
    <x v="0"/>
    <x v="7"/>
    <x v="62"/>
    <x v="3"/>
  </r>
  <r>
    <s v="Royal Challengers Bangalore"/>
    <s v="Kings XI Punjab"/>
    <x v="7"/>
    <n v="2015"/>
    <d v="2015-05-06T00:00:00"/>
    <s v="Kings XI Punjab"/>
    <x v="0"/>
    <x v="0"/>
    <x v="3"/>
    <x v="45"/>
    <x v="0"/>
  </r>
  <r>
    <s v="Rajasthan Royals"/>
    <s v="Sunrisers Hyderabad"/>
    <x v="7"/>
    <n v="2015"/>
    <d v="2015-05-07T00:00:00"/>
    <s v="Rajasthan Royals"/>
    <x v="0"/>
    <x v="0"/>
    <x v="11"/>
    <x v="171"/>
    <x v="17"/>
  </r>
  <r>
    <s v="Kolkata Knight Riders"/>
    <s v="Delhi Daredevils"/>
    <x v="7"/>
    <n v="2015"/>
    <d v="2015-05-07T00:00:00"/>
    <s v="Kolkata Knight Riders"/>
    <x v="1"/>
    <x v="1"/>
    <x v="0"/>
    <x v="88"/>
    <x v="4"/>
  </r>
  <r>
    <s v="Chennai Super Kings"/>
    <s v="Mumbai Indians"/>
    <x v="7"/>
    <n v="2015"/>
    <d v="2015-05-08T00:00:00"/>
    <s v="Chennai Super Kings"/>
    <x v="1"/>
    <x v="0"/>
    <x v="7"/>
    <x v="172"/>
    <x v="7"/>
  </r>
  <r>
    <s v="Kolkata Knight Riders"/>
    <s v="Kings XI Punjab"/>
    <x v="7"/>
    <n v="2015"/>
    <d v="2015-05-09T00:00:00"/>
    <s v="Kings XI Punjab"/>
    <x v="1"/>
    <x v="0"/>
    <x v="0"/>
    <x v="165"/>
    <x v="4"/>
  </r>
  <r>
    <s v="Delhi Daredevils"/>
    <s v="Sunrisers Hyderabad"/>
    <x v="7"/>
    <n v="2015"/>
    <d v="2015-05-09T00:00:00"/>
    <s v="Sunrisers Hyderabad"/>
    <x v="1"/>
    <x v="1"/>
    <x v="11"/>
    <x v="173"/>
    <x v="28"/>
  </r>
  <r>
    <s v="Mumbai Indians"/>
    <s v="Royal Challengers Bangalore"/>
    <x v="7"/>
    <n v="2015"/>
    <d v="2015-05-10T00:00:00"/>
    <s v="Royal Challengers Bangalore"/>
    <x v="1"/>
    <x v="1"/>
    <x v="3"/>
    <x v="46"/>
    <x v="3"/>
  </r>
  <r>
    <s v="Chennai Super Kings"/>
    <s v="Rajasthan Royals"/>
    <x v="7"/>
    <n v="2015"/>
    <d v="2015-05-10T00:00:00"/>
    <s v="Chennai Super Kings"/>
    <x v="1"/>
    <x v="1"/>
    <x v="1"/>
    <x v="120"/>
    <x v="7"/>
  </r>
  <r>
    <s v="Sunrisers Hyderabad"/>
    <s v="Kings XI Punjab"/>
    <x v="7"/>
    <n v="2015"/>
    <d v="2015-05-11T00:00:00"/>
    <s v="Sunrisers Hyderabad"/>
    <x v="1"/>
    <x v="1"/>
    <x v="11"/>
    <x v="79"/>
    <x v="6"/>
  </r>
  <r>
    <s v="Delhi Daredevils"/>
    <s v="Chennai Super Kings"/>
    <x v="7"/>
    <n v="2015"/>
    <d v="2015-05-12T00:00:00"/>
    <s v="Chennai Super Kings"/>
    <x v="1"/>
    <x v="0"/>
    <x v="2"/>
    <x v="174"/>
    <x v="28"/>
  </r>
  <r>
    <s v="Kings XI Punjab"/>
    <s v="Royal Challengers Bangalore"/>
    <x v="7"/>
    <n v="2015"/>
    <d v="2015-05-13T00:00:00"/>
    <s v="Royal Challengers Bangalore"/>
    <x v="0"/>
    <x v="0"/>
    <x v="5"/>
    <x v="160"/>
    <x v="1"/>
  </r>
  <r>
    <s v="Mumbai Indians"/>
    <s v="Kolkata Knight Riders"/>
    <x v="7"/>
    <n v="2015"/>
    <d v="2015-05-14T00:00:00"/>
    <s v="Kolkata Knight Riders"/>
    <x v="0"/>
    <x v="0"/>
    <x v="7"/>
    <x v="172"/>
    <x v="3"/>
  </r>
  <r>
    <s v="Sunrisers Hyderabad"/>
    <s v="Royal Challengers Bangalore"/>
    <x v="7"/>
    <n v="2015"/>
    <d v="2015-05-15T00:00:00"/>
    <s v="Sunrisers Hyderabad"/>
    <x v="1"/>
    <x v="0"/>
    <x v="3"/>
    <x v="104"/>
    <x v="6"/>
  </r>
  <r>
    <s v="Rajasthan Royals"/>
    <s v="Kolkata Knight Riders"/>
    <x v="7"/>
    <n v="2015"/>
    <d v="2015-05-16T00:00:00"/>
    <s v="Rajasthan Royals"/>
    <x v="1"/>
    <x v="1"/>
    <x v="4"/>
    <x v="5"/>
    <x v="17"/>
  </r>
  <r>
    <s v="Kings XI Punjab"/>
    <s v="Chennai Super Kings"/>
    <x v="7"/>
    <n v="2015"/>
    <d v="2015-05-16T00:00:00"/>
    <s v="Kings XI Punjab"/>
    <x v="1"/>
    <x v="0"/>
    <x v="1"/>
    <x v="132"/>
    <x v="1"/>
  </r>
  <r>
    <s v="Royal Challengers Bangalore"/>
    <s v="Delhi Daredevils"/>
    <x v="7"/>
    <n v="2015"/>
    <d v="2015-05-17T00:00:00"/>
    <s v="Royal Challengers Bangalore"/>
    <x v="0"/>
    <x v="0"/>
    <x v="8"/>
    <x v="115"/>
    <x v="0"/>
  </r>
  <r>
    <s v="Sunrisers Hyderabad"/>
    <s v="Mumbai Indians"/>
    <x v="7"/>
    <n v="2015"/>
    <d v="2015-05-17T00:00:00"/>
    <s v="Sunrisers Hyderabad"/>
    <x v="1"/>
    <x v="0"/>
    <x v="7"/>
    <x v="175"/>
    <x v="6"/>
  </r>
  <r>
    <s v="Chennai Super Kings"/>
    <s v="Mumbai Indians"/>
    <x v="7"/>
    <n v="2015"/>
    <d v="2015-05-19T00:00:00"/>
    <s v="Mumbai Indians"/>
    <x v="1"/>
    <x v="1"/>
    <x v="7"/>
    <x v="91"/>
    <x v="3"/>
  </r>
  <r>
    <s v="Royal Challengers Bangalore"/>
    <s v="Rajasthan Royals"/>
    <x v="7"/>
    <n v="2015"/>
    <d v="2015-05-20T00:00:00"/>
    <s v="Royal Challengers Bangalore"/>
    <x v="1"/>
    <x v="1"/>
    <x v="3"/>
    <x v="46"/>
    <x v="27"/>
  </r>
  <r>
    <s v="Chennai Super Kings"/>
    <s v="Royal Challengers Bangalore"/>
    <x v="7"/>
    <n v="2015"/>
    <d v="2015-05-22T00:00:00"/>
    <s v="Chennai Super Kings"/>
    <x v="0"/>
    <x v="1"/>
    <x v="1"/>
    <x v="23"/>
    <x v="29"/>
  </r>
  <r>
    <s v="Mumbai Indians"/>
    <s v="Chennai Super Kings"/>
    <x v="7"/>
    <n v="2015"/>
    <d v="2015-05-24T00:00:00"/>
    <s v="Chennai Super Kings"/>
    <x v="0"/>
    <x v="0"/>
    <x v="7"/>
    <x v="57"/>
    <x v="4"/>
  </r>
  <r>
    <s v="Mumbai Indians"/>
    <s v="Rising Pune Supergiants"/>
    <x v="8"/>
    <n v="2016"/>
    <d v="2016-04-09T00:00:00"/>
    <s v="Mumbai Indians"/>
    <x v="1"/>
    <x v="0"/>
    <x v="12"/>
    <x v="119"/>
    <x v="3"/>
  </r>
  <r>
    <s v="Kolkata Knight Riders"/>
    <s v="Delhi Daredevils"/>
    <x v="8"/>
    <n v="2016"/>
    <d v="2016-04-10T00:00:00"/>
    <s v="Kolkata Knight Riders"/>
    <x v="0"/>
    <x v="1"/>
    <x v="0"/>
    <x v="165"/>
    <x v="4"/>
  </r>
  <r>
    <s v="Kings XI Punjab"/>
    <s v="Gujarat Lions"/>
    <x v="8"/>
    <n v="2016"/>
    <d v="2016-04-11T00:00:00"/>
    <s v="Gujarat Lions"/>
    <x v="0"/>
    <x v="1"/>
    <x v="13"/>
    <x v="140"/>
    <x v="33"/>
  </r>
  <r>
    <s v="Royal Challengers Bangalore"/>
    <s v="Sunrisers Hyderabad"/>
    <x v="8"/>
    <n v="2016"/>
    <d v="2016-04-12T00:00:00"/>
    <s v="Sunrisers Hyderabad"/>
    <x v="0"/>
    <x v="0"/>
    <x v="3"/>
    <x v="46"/>
    <x v="0"/>
  </r>
  <r>
    <s v="Kolkata Knight Riders"/>
    <s v="Mumbai Indians"/>
    <x v="8"/>
    <n v="2016"/>
    <d v="2016-04-13T00:00:00"/>
    <s v="Mumbai Indians"/>
    <x v="0"/>
    <x v="1"/>
    <x v="7"/>
    <x v="57"/>
    <x v="4"/>
  </r>
  <r>
    <s v="Gujarat Lions"/>
    <s v="Rising Pune Supergiants"/>
    <x v="8"/>
    <n v="2016"/>
    <d v="2016-04-14T00:00:00"/>
    <s v="Rising Pune Supergiants"/>
    <x v="1"/>
    <x v="0"/>
    <x v="13"/>
    <x v="140"/>
    <x v="34"/>
  </r>
  <r>
    <s v="Delhi Daredevils"/>
    <s v="Kings XI Punjab"/>
    <x v="8"/>
    <n v="2016"/>
    <d v="2016-04-15T00:00:00"/>
    <s v="Delhi Daredevils"/>
    <x v="0"/>
    <x v="1"/>
    <x v="2"/>
    <x v="27"/>
    <x v="2"/>
  </r>
  <r>
    <s v="Sunrisers Hyderabad"/>
    <s v="Kolkata Knight Riders"/>
    <x v="8"/>
    <n v="2016"/>
    <d v="2016-04-16T00:00:00"/>
    <s v="Sunrisers Hyderabad"/>
    <x v="1"/>
    <x v="0"/>
    <x v="0"/>
    <x v="56"/>
    <x v="6"/>
  </r>
  <r>
    <s v="Mumbai Indians"/>
    <s v="Gujarat Lions"/>
    <x v="8"/>
    <n v="2016"/>
    <d v="2016-04-16T00:00:00"/>
    <s v="Gujarat Lions"/>
    <x v="0"/>
    <x v="1"/>
    <x v="13"/>
    <x v="140"/>
    <x v="3"/>
  </r>
  <r>
    <s v="Kings XI Punjab"/>
    <s v="Rising Pune Supergiants"/>
    <x v="8"/>
    <n v="2016"/>
    <d v="2016-04-17T00:00:00"/>
    <s v="Rising Pune Supergiants"/>
    <x v="1"/>
    <x v="0"/>
    <x v="5"/>
    <x v="139"/>
    <x v="33"/>
  </r>
  <r>
    <s v="Royal Challengers Bangalore"/>
    <s v="Delhi Daredevils"/>
    <x v="8"/>
    <n v="2016"/>
    <d v="2016-04-17T00:00:00"/>
    <s v="Delhi Daredevils"/>
    <x v="0"/>
    <x v="1"/>
    <x v="2"/>
    <x v="176"/>
    <x v="0"/>
  </r>
  <r>
    <s v="Sunrisers Hyderabad"/>
    <s v="Mumbai Indians"/>
    <x v="8"/>
    <n v="2016"/>
    <d v="2016-04-18T00:00:00"/>
    <s v="Sunrisers Hyderabad"/>
    <x v="0"/>
    <x v="1"/>
    <x v="11"/>
    <x v="79"/>
    <x v="6"/>
  </r>
  <r>
    <s v="Kings XI Punjab"/>
    <s v="Kolkata Knight Riders"/>
    <x v="8"/>
    <n v="2016"/>
    <d v="2016-04-19T00:00:00"/>
    <s v="Kolkata Knight Riders"/>
    <x v="0"/>
    <x v="1"/>
    <x v="0"/>
    <x v="75"/>
    <x v="33"/>
  </r>
  <r>
    <s v="Mumbai Indians"/>
    <s v="Royal Challengers Bangalore"/>
    <x v="8"/>
    <n v="2016"/>
    <d v="2016-04-20T00:00:00"/>
    <s v="Mumbai Indians"/>
    <x v="0"/>
    <x v="1"/>
    <x v="7"/>
    <x v="57"/>
    <x v="3"/>
  </r>
  <r>
    <s v="Gujarat Lions"/>
    <s v="Sunrisers Hyderabad"/>
    <x v="8"/>
    <n v="2016"/>
    <d v="2016-04-21T00:00:00"/>
    <s v="Sunrisers Hyderabad"/>
    <x v="0"/>
    <x v="1"/>
    <x v="11"/>
    <x v="157"/>
    <x v="34"/>
  </r>
  <r>
    <s v="Rising Pune Supergiants"/>
    <s v="Royal Challengers Bangalore"/>
    <x v="8"/>
    <n v="2016"/>
    <d v="2016-04-22T00:00:00"/>
    <s v="Rising Pune Supergiants"/>
    <x v="0"/>
    <x v="0"/>
    <x v="3"/>
    <x v="46"/>
    <x v="27"/>
  </r>
  <r>
    <s v="Sunrisers Hyderabad"/>
    <s v="Kings XI Punjab"/>
    <x v="8"/>
    <n v="2016"/>
    <d v="2016-04-23T00:00:00"/>
    <s v="Sunrisers Hyderabad"/>
    <x v="0"/>
    <x v="1"/>
    <x v="11"/>
    <x v="177"/>
    <x v="6"/>
  </r>
  <r>
    <s v="Delhi Daredevils"/>
    <s v="Mumbai Indians"/>
    <x v="8"/>
    <n v="2016"/>
    <d v="2016-04-23T00:00:00"/>
    <s v="Mumbai Indians"/>
    <x v="0"/>
    <x v="0"/>
    <x v="2"/>
    <x v="144"/>
    <x v="2"/>
  </r>
  <r>
    <s v="Rising Pune Supergiants"/>
    <s v="Kolkata Knight Riders"/>
    <x v="8"/>
    <n v="2016"/>
    <d v="2016-04-24T00:00:00"/>
    <s v="Kolkata Knight Riders"/>
    <x v="0"/>
    <x v="1"/>
    <x v="0"/>
    <x v="178"/>
    <x v="27"/>
  </r>
  <r>
    <s v="Gujarat Lions"/>
    <s v="Royal Challengers Bangalore"/>
    <x v="8"/>
    <n v="2016"/>
    <d v="2016-04-24T00:00:00"/>
    <s v="Royal Challengers Bangalore"/>
    <x v="1"/>
    <x v="0"/>
    <x v="13"/>
    <x v="104"/>
    <x v="34"/>
  </r>
  <r>
    <s v="Kings XI Punjab"/>
    <s v="Mumbai Indians"/>
    <x v="8"/>
    <n v="2016"/>
    <d v="2016-04-25T00:00:00"/>
    <s v="Kings XI Punjab"/>
    <x v="0"/>
    <x v="0"/>
    <x v="7"/>
    <x v="148"/>
    <x v="33"/>
  </r>
  <r>
    <s v="Sunrisers Hyderabad"/>
    <s v="Rising Pune Supergiants"/>
    <x v="8"/>
    <n v="2016"/>
    <d v="2016-04-26T00:00:00"/>
    <s v="Rising Pune Supergiants"/>
    <x v="0"/>
    <x v="1"/>
    <x v="12"/>
    <x v="179"/>
    <x v="6"/>
  </r>
  <r>
    <s v="Delhi Daredevils"/>
    <s v="Gujarat Lions"/>
    <x v="8"/>
    <n v="2016"/>
    <d v="2016-04-27T00:00:00"/>
    <s v="Delhi Daredevils"/>
    <x v="0"/>
    <x v="0"/>
    <x v="13"/>
    <x v="180"/>
    <x v="2"/>
  </r>
  <r>
    <s v="Mumbai Indians"/>
    <s v="Kolkata Knight Riders"/>
    <x v="8"/>
    <n v="2016"/>
    <d v="2016-04-28T00:00:00"/>
    <s v="Mumbai Indians"/>
    <x v="0"/>
    <x v="1"/>
    <x v="7"/>
    <x v="57"/>
    <x v="3"/>
  </r>
  <r>
    <s v="Rising Pune Supergiants"/>
    <s v="Gujarat Lions"/>
    <x v="8"/>
    <n v="2016"/>
    <d v="2016-04-29T00:00:00"/>
    <s v="Gujarat Lions"/>
    <x v="0"/>
    <x v="1"/>
    <x v="13"/>
    <x v="60"/>
    <x v="27"/>
  </r>
  <r>
    <s v="Sunrisers Hyderabad"/>
    <s v="Royal Challengers Bangalore"/>
    <x v="8"/>
    <n v="2016"/>
    <d v="2016-04-30T00:00:00"/>
    <s v="Royal Challengers Bangalore"/>
    <x v="0"/>
    <x v="0"/>
    <x v="11"/>
    <x v="79"/>
    <x v="6"/>
  </r>
  <r>
    <s v="Delhi Daredevils"/>
    <s v="Kolkata Knight Riders"/>
    <x v="8"/>
    <n v="2016"/>
    <d v="2016-04-30T00:00:00"/>
    <s v="Kolkata Knight Riders"/>
    <x v="0"/>
    <x v="0"/>
    <x v="2"/>
    <x v="181"/>
    <x v="2"/>
  </r>
  <r>
    <s v="Gujarat Lions"/>
    <s v="Kings XI Punjab"/>
    <x v="8"/>
    <n v="2016"/>
    <d v="2016-05-01T00:00:00"/>
    <s v="Gujarat Lions"/>
    <x v="0"/>
    <x v="0"/>
    <x v="5"/>
    <x v="160"/>
    <x v="34"/>
  </r>
  <r>
    <s v="Rising Pune Supergiants"/>
    <s v="Mumbai Indians"/>
    <x v="8"/>
    <n v="2016"/>
    <d v="2016-05-01T00:00:00"/>
    <s v="Mumbai Indians"/>
    <x v="0"/>
    <x v="1"/>
    <x v="7"/>
    <x v="57"/>
    <x v="27"/>
  </r>
  <r>
    <s v="Royal Challengers Bangalore"/>
    <s v="Kolkata Knight Riders"/>
    <x v="8"/>
    <n v="2016"/>
    <d v="2016-05-02T00:00:00"/>
    <s v="Kolkata Knight Riders"/>
    <x v="0"/>
    <x v="1"/>
    <x v="0"/>
    <x v="165"/>
    <x v="0"/>
  </r>
  <r>
    <s v="Gujarat Lions"/>
    <s v="Delhi Daredevils"/>
    <x v="8"/>
    <n v="2016"/>
    <d v="2016-05-03T00:00:00"/>
    <s v="Delhi Daredevils"/>
    <x v="0"/>
    <x v="1"/>
    <x v="2"/>
    <x v="182"/>
    <x v="34"/>
  </r>
  <r>
    <s v="Kolkata Knight Riders"/>
    <s v="Kings XI Punjab"/>
    <x v="8"/>
    <n v="2016"/>
    <d v="2016-05-04T00:00:00"/>
    <s v="Kings XI Punjab"/>
    <x v="0"/>
    <x v="0"/>
    <x v="0"/>
    <x v="165"/>
    <x v="4"/>
  </r>
  <r>
    <s v="Delhi Daredevils"/>
    <s v="Rising Pune Supergiants"/>
    <x v="8"/>
    <n v="2016"/>
    <d v="2016-05-05T00:00:00"/>
    <s v="Rising Pune Supergiants"/>
    <x v="0"/>
    <x v="1"/>
    <x v="12"/>
    <x v="119"/>
    <x v="2"/>
  </r>
  <r>
    <s v="Sunrisers Hyderabad"/>
    <s v="Gujarat Lions"/>
    <x v="8"/>
    <n v="2016"/>
    <d v="2016-05-06T00:00:00"/>
    <s v="Sunrisers Hyderabad"/>
    <x v="0"/>
    <x v="1"/>
    <x v="11"/>
    <x v="157"/>
    <x v="6"/>
  </r>
  <r>
    <s v="Kings XI Punjab"/>
    <s v="Delhi Daredevils"/>
    <x v="8"/>
    <n v="2016"/>
    <d v="2016-05-07T00:00:00"/>
    <s v="Delhi Daredevils"/>
    <x v="0"/>
    <x v="0"/>
    <x v="5"/>
    <x v="183"/>
    <x v="33"/>
  </r>
  <r>
    <s v="Royal Challengers Bangalore"/>
    <s v="Rising Pune Supergiants"/>
    <x v="8"/>
    <n v="2016"/>
    <d v="2016-05-07T00:00:00"/>
    <s v="Royal Challengers Bangalore"/>
    <x v="0"/>
    <x v="1"/>
    <x v="3"/>
    <x v="104"/>
    <x v="0"/>
  </r>
  <r>
    <s v="Kolkata Knight Riders"/>
    <s v="Gujarat Lions"/>
    <x v="8"/>
    <n v="2016"/>
    <d v="2016-05-08T00:00:00"/>
    <s v="Gujarat Lions"/>
    <x v="0"/>
    <x v="1"/>
    <x v="13"/>
    <x v="18"/>
    <x v="4"/>
  </r>
  <r>
    <s v="Mumbai Indians"/>
    <s v="Sunrisers Hyderabad"/>
    <x v="8"/>
    <n v="2016"/>
    <d v="2016-05-08T00:00:00"/>
    <s v="Mumbai Indians"/>
    <x v="0"/>
    <x v="0"/>
    <x v="11"/>
    <x v="23"/>
    <x v="25"/>
  </r>
  <r>
    <s v="Kings XI Punjab"/>
    <s v="Royal Challengers Bangalore"/>
    <x v="8"/>
    <n v="2016"/>
    <d v="2016-05-09T00:00:00"/>
    <s v="Kings XI Punjab"/>
    <x v="0"/>
    <x v="0"/>
    <x v="3"/>
    <x v="5"/>
    <x v="33"/>
  </r>
  <r>
    <s v="Rising Pune Supergiants"/>
    <s v="Sunrisers Hyderabad"/>
    <x v="8"/>
    <n v="2016"/>
    <d v="2016-05-10T00:00:00"/>
    <s v="Sunrisers Hyderabad"/>
    <x v="1"/>
    <x v="1"/>
    <x v="11"/>
    <x v="184"/>
    <x v="25"/>
  </r>
  <r>
    <s v="Royal Challengers Bangalore"/>
    <s v="Mumbai Indians"/>
    <x v="8"/>
    <n v="2016"/>
    <d v="2016-05-11T00:00:00"/>
    <s v="Mumbai Indians"/>
    <x v="0"/>
    <x v="1"/>
    <x v="7"/>
    <x v="185"/>
    <x v="0"/>
  </r>
  <r>
    <s v="Sunrisers Hyderabad"/>
    <s v="Delhi Daredevils"/>
    <x v="8"/>
    <n v="2016"/>
    <d v="2016-05-12T00:00:00"/>
    <s v="Delhi Daredevils"/>
    <x v="0"/>
    <x v="1"/>
    <x v="2"/>
    <x v="180"/>
    <x v="6"/>
  </r>
  <r>
    <s v="Mumbai Indians"/>
    <s v="Kings XI Punjab"/>
    <x v="8"/>
    <n v="2016"/>
    <d v="2016-05-13T00:00:00"/>
    <s v="Mumbai Indians"/>
    <x v="1"/>
    <x v="0"/>
    <x v="5"/>
    <x v="183"/>
    <x v="25"/>
  </r>
  <r>
    <s v="Royal Challengers Bangalore"/>
    <s v="Gujarat Lions"/>
    <x v="8"/>
    <n v="2016"/>
    <d v="2016-05-14T00:00:00"/>
    <s v="Gujarat Lions"/>
    <x v="0"/>
    <x v="0"/>
    <x v="3"/>
    <x v="46"/>
    <x v="0"/>
  </r>
  <r>
    <s v="Kolkata Knight Riders"/>
    <s v="Rising Pune Supergiants"/>
    <x v="8"/>
    <n v="2016"/>
    <d v="2016-05-14T00:00:00"/>
    <s v="Rising Pune Supergiants"/>
    <x v="1"/>
    <x v="0"/>
    <x v="0"/>
    <x v="8"/>
    <x v="4"/>
  </r>
  <r>
    <s v="Kings XI Punjab"/>
    <s v="Sunrisers Hyderabad"/>
    <x v="8"/>
    <n v="2016"/>
    <d v="2016-05-15T00:00:00"/>
    <s v="Kings XI Punjab"/>
    <x v="1"/>
    <x v="0"/>
    <x v="11"/>
    <x v="186"/>
    <x v="33"/>
  </r>
  <r>
    <s v="Mumbai Indians"/>
    <s v="Delhi Daredevils"/>
    <x v="8"/>
    <n v="2016"/>
    <d v="2016-05-15T00:00:00"/>
    <s v="Delhi Daredevils"/>
    <x v="0"/>
    <x v="0"/>
    <x v="7"/>
    <x v="185"/>
    <x v="25"/>
  </r>
  <r>
    <s v="Kolkata Knight Riders"/>
    <s v="Royal Challengers Bangalore"/>
    <x v="8"/>
    <n v="2016"/>
    <d v="2016-05-16T00:00:00"/>
    <s v="Royal Challengers Bangalore"/>
    <x v="0"/>
    <x v="1"/>
    <x v="3"/>
    <x v="104"/>
    <x v="4"/>
  </r>
  <r>
    <s v="Rising Pune Supergiants"/>
    <s v="Delhi Daredevils"/>
    <x v="8"/>
    <n v="2016"/>
    <d v="2016-05-17T00:00:00"/>
    <s v="Rising Pune Supergiants"/>
    <x v="0"/>
    <x v="1"/>
    <x v="12"/>
    <x v="179"/>
    <x v="25"/>
  </r>
  <r>
    <s v="Royal Challengers Bangalore"/>
    <s v="Kings XI Punjab"/>
    <x v="8"/>
    <n v="2016"/>
    <d v="2016-05-18T00:00:00"/>
    <s v="Kings XI Punjab"/>
    <x v="0"/>
    <x v="0"/>
    <x v="3"/>
    <x v="104"/>
    <x v="0"/>
  </r>
  <r>
    <s v="Gujarat Lions"/>
    <s v="Kolkata Knight Riders"/>
    <x v="8"/>
    <n v="2016"/>
    <d v="2016-05-19T00:00:00"/>
    <s v="Gujarat Lions"/>
    <x v="0"/>
    <x v="1"/>
    <x v="13"/>
    <x v="60"/>
    <x v="35"/>
  </r>
  <r>
    <s v="Delhi Daredevils"/>
    <s v="Sunrisers Hyderabad"/>
    <x v="8"/>
    <n v="2016"/>
    <d v="2016-05-20T00:00:00"/>
    <s v="Delhi Daredevils"/>
    <x v="0"/>
    <x v="1"/>
    <x v="2"/>
    <x v="159"/>
    <x v="28"/>
  </r>
  <r>
    <s v="Rising Pune Supergiants"/>
    <s v="Kings XI Punjab"/>
    <x v="8"/>
    <n v="2016"/>
    <d v="2016-05-21T00:00:00"/>
    <s v="Kings XI Punjab"/>
    <x v="1"/>
    <x v="0"/>
    <x v="12"/>
    <x v="13"/>
    <x v="25"/>
  </r>
  <r>
    <s v="Gujarat Lions"/>
    <s v="Mumbai Indians"/>
    <x v="8"/>
    <n v="2016"/>
    <d v="2016-05-21T00:00:00"/>
    <s v="Gujarat Lions"/>
    <x v="0"/>
    <x v="1"/>
    <x v="13"/>
    <x v="38"/>
    <x v="35"/>
  </r>
  <r>
    <s v="Kolkata Knight Riders"/>
    <s v="Sunrisers Hyderabad"/>
    <x v="8"/>
    <n v="2016"/>
    <d v="2016-05-22T00:00:00"/>
    <s v="Sunrisers Hyderabad"/>
    <x v="0"/>
    <x v="0"/>
    <x v="0"/>
    <x v="8"/>
    <x v="4"/>
  </r>
  <r>
    <s v="Delhi Daredevils"/>
    <s v="Royal Challengers Bangalore"/>
    <x v="8"/>
    <n v="2016"/>
    <d v="2016-05-22T00:00:00"/>
    <s v="Royal Challengers Bangalore"/>
    <x v="0"/>
    <x v="1"/>
    <x v="3"/>
    <x v="104"/>
    <x v="28"/>
  </r>
  <r>
    <s v="Gujarat Lions"/>
    <s v="Royal Challengers Bangalore"/>
    <x v="8"/>
    <n v="2016"/>
    <d v="2016-05-24T00:00:00"/>
    <s v="Royal Challengers Bangalore"/>
    <x v="0"/>
    <x v="1"/>
    <x v="3"/>
    <x v="46"/>
    <x v="0"/>
  </r>
  <r>
    <s v="Sunrisers Hyderabad"/>
    <s v="Kolkata Knight Riders"/>
    <x v="8"/>
    <n v="2016"/>
    <d v="2016-05-25T00:00:00"/>
    <s v="Kolkata Knight Riders"/>
    <x v="0"/>
    <x v="0"/>
    <x v="11"/>
    <x v="173"/>
    <x v="2"/>
  </r>
  <r>
    <s v="Gujarat Lions"/>
    <s v="Sunrisers Hyderabad"/>
    <x v="8"/>
    <n v="2016"/>
    <d v="2016-05-27T00:00:00"/>
    <s v="Sunrisers Hyderabad"/>
    <x v="0"/>
    <x v="1"/>
    <x v="11"/>
    <x v="79"/>
    <x v="2"/>
  </r>
  <r>
    <s v="Royal Challengers Bangalore"/>
    <s v="Sunrisers Hyderabad"/>
    <x v="8"/>
    <n v="2016"/>
    <d v="2016-05-29T00:00:00"/>
    <s v="Sunrisers Hyderabad"/>
    <x v="1"/>
    <x v="1"/>
    <x v="11"/>
    <x v="187"/>
    <x v="0"/>
  </r>
  <r>
    <s v="Sunrisers Hyderabad"/>
    <s v="Royal Challengers Bangalore"/>
    <x v="9"/>
    <n v="2017"/>
    <d v="2017-04-05T00:00:00"/>
    <s v="Royal Challengers Bangalore"/>
    <x v="0"/>
    <x v="0"/>
    <x v="11"/>
    <x v="53"/>
    <x v="6"/>
  </r>
  <r>
    <s v="Rising Pune Supergiant"/>
    <s v="Mumbai Indians"/>
    <x v="9"/>
    <n v="2017"/>
    <d v="2017-04-06T00:00:00"/>
    <s v="Rising Pune Supergiant"/>
    <x v="0"/>
    <x v="1"/>
    <x v="14"/>
    <x v="118"/>
    <x v="27"/>
  </r>
  <r>
    <s v="Gujarat Lions"/>
    <s v="Kolkata Knight Riders"/>
    <x v="9"/>
    <n v="2017"/>
    <d v="2017-04-07T00:00:00"/>
    <s v="Kolkata Knight Riders"/>
    <x v="0"/>
    <x v="1"/>
    <x v="0"/>
    <x v="153"/>
    <x v="34"/>
  </r>
  <r>
    <s v="Royal Challengers Bangalore"/>
    <s v="Delhi Daredevils"/>
    <x v="9"/>
    <n v="2017"/>
    <d v="2017-04-08T00:00:00"/>
    <s v="Royal Challengers Bangalore"/>
    <x v="1"/>
    <x v="1"/>
    <x v="3"/>
    <x v="77"/>
    <x v="36"/>
  </r>
  <r>
    <s v="Kings XI Punjab"/>
    <s v="Rising Pune Supergiant"/>
    <x v="9"/>
    <n v="2017"/>
    <d v="2017-04-08T00:00:00"/>
    <s v="Kings XI Punjab"/>
    <x v="0"/>
    <x v="1"/>
    <x v="5"/>
    <x v="152"/>
    <x v="24"/>
  </r>
  <r>
    <s v="Sunrisers Hyderabad"/>
    <s v="Gujarat Lions"/>
    <x v="9"/>
    <n v="2017"/>
    <d v="2017-04-09T00:00:00"/>
    <s v="Sunrisers Hyderabad"/>
    <x v="0"/>
    <x v="1"/>
    <x v="11"/>
    <x v="188"/>
    <x v="6"/>
  </r>
  <r>
    <s v="Mumbai Indians"/>
    <s v="Kolkata Knight Riders"/>
    <x v="9"/>
    <n v="2017"/>
    <d v="2017-04-09T00:00:00"/>
    <s v="Mumbai Indians"/>
    <x v="0"/>
    <x v="1"/>
    <x v="7"/>
    <x v="189"/>
    <x v="3"/>
  </r>
  <r>
    <s v="Kings XI Punjab"/>
    <s v="Royal Challengers Bangalore"/>
    <x v="9"/>
    <n v="2017"/>
    <d v="2017-04-10T00:00:00"/>
    <s v="Royal Challengers Bangalore"/>
    <x v="1"/>
    <x v="0"/>
    <x v="5"/>
    <x v="160"/>
    <x v="24"/>
  </r>
  <r>
    <s v="Rising Pune Supergiant"/>
    <s v="Delhi Daredevils"/>
    <x v="9"/>
    <n v="2017"/>
    <d v="2017-04-11T00:00:00"/>
    <s v="Rising Pune Supergiant"/>
    <x v="0"/>
    <x v="0"/>
    <x v="2"/>
    <x v="144"/>
    <x v="27"/>
  </r>
  <r>
    <s v="Mumbai Indians"/>
    <s v="Sunrisers Hyderabad"/>
    <x v="9"/>
    <n v="2017"/>
    <d v="2017-04-12T00:00:00"/>
    <s v="Mumbai Indians"/>
    <x v="0"/>
    <x v="1"/>
    <x v="7"/>
    <x v="190"/>
    <x v="3"/>
  </r>
  <r>
    <s v="Kolkata Knight Riders"/>
    <s v="Kings XI Punjab"/>
    <x v="9"/>
    <n v="2017"/>
    <d v="2017-04-13T00:00:00"/>
    <s v="Kolkata Knight Riders"/>
    <x v="0"/>
    <x v="1"/>
    <x v="0"/>
    <x v="127"/>
    <x v="4"/>
  </r>
  <r>
    <s v="Royal Challengers Bangalore"/>
    <s v="Mumbai Indians"/>
    <x v="9"/>
    <n v="2017"/>
    <d v="2017-04-14T00:00:00"/>
    <s v="Mumbai Indians"/>
    <x v="0"/>
    <x v="1"/>
    <x v="7"/>
    <x v="91"/>
    <x v="0"/>
  </r>
  <r>
    <s v="Gujarat Lions"/>
    <s v="Rising Pune Supergiant"/>
    <x v="9"/>
    <n v="2017"/>
    <d v="2017-04-14T00:00:00"/>
    <s v="Gujarat Lions"/>
    <x v="0"/>
    <x v="1"/>
    <x v="13"/>
    <x v="191"/>
    <x v="34"/>
  </r>
  <r>
    <s v="Delhi Daredevils"/>
    <s v="Kings XI Punjab"/>
    <x v="9"/>
    <n v="2017"/>
    <d v="2017-04-15T00:00:00"/>
    <s v="Delhi Daredevils"/>
    <x v="1"/>
    <x v="1"/>
    <x v="2"/>
    <x v="158"/>
    <x v="2"/>
  </r>
  <r>
    <s v="Kolkata Knight Riders"/>
    <s v="Sunrisers Hyderabad"/>
    <x v="9"/>
    <n v="2017"/>
    <d v="2017-04-15T00:00:00"/>
    <s v="Sunrisers Hyderabad"/>
    <x v="0"/>
    <x v="0"/>
    <x v="0"/>
    <x v="75"/>
    <x v="4"/>
  </r>
  <r>
    <s v="Royal Challengers Bangalore"/>
    <s v="Rising Pune Supergiant"/>
    <x v="9"/>
    <n v="2017"/>
    <d v="2017-04-16T00:00:00"/>
    <s v="Royal Challengers Bangalore"/>
    <x v="0"/>
    <x v="0"/>
    <x v="14"/>
    <x v="192"/>
    <x v="0"/>
  </r>
  <r>
    <s v="Mumbai Indians"/>
    <s v="Gujarat Lions"/>
    <x v="9"/>
    <n v="2017"/>
    <d v="2017-04-16T00:00:00"/>
    <s v="Mumbai Indians"/>
    <x v="0"/>
    <x v="1"/>
    <x v="7"/>
    <x v="189"/>
    <x v="3"/>
  </r>
  <r>
    <s v="Delhi Daredevils"/>
    <s v="Kolkata Knight Riders"/>
    <x v="9"/>
    <n v="2017"/>
    <d v="2017-04-17T00:00:00"/>
    <s v="Delhi Daredevils"/>
    <x v="1"/>
    <x v="0"/>
    <x v="0"/>
    <x v="170"/>
    <x v="2"/>
  </r>
  <r>
    <s v="Sunrisers Hyderabad"/>
    <s v="Kings XI Punjab"/>
    <x v="9"/>
    <n v="2017"/>
    <d v="2017-04-17T00:00:00"/>
    <s v="Kings XI Punjab"/>
    <x v="0"/>
    <x v="0"/>
    <x v="11"/>
    <x v="157"/>
    <x v="6"/>
  </r>
  <r>
    <s v="Gujarat Lions"/>
    <s v="Royal Challengers Bangalore"/>
    <x v="9"/>
    <n v="2017"/>
    <d v="2017-04-18T00:00:00"/>
    <s v="Gujarat Lions"/>
    <x v="0"/>
    <x v="0"/>
    <x v="3"/>
    <x v="45"/>
    <x v="34"/>
  </r>
  <r>
    <s v="Sunrisers Hyderabad"/>
    <s v="Delhi Daredevils"/>
    <x v="9"/>
    <n v="2017"/>
    <d v="2017-04-19T00:00:00"/>
    <s v="Sunrisers Hyderabad"/>
    <x v="1"/>
    <x v="1"/>
    <x v="11"/>
    <x v="193"/>
    <x v="6"/>
  </r>
  <r>
    <s v="Kings XI Punjab"/>
    <s v="Mumbai Indians"/>
    <x v="9"/>
    <n v="2017"/>
    <d v="2017-04-20T00:00:00"/>
    <s v="Mumbai Indians"/>
    <x v="0"/>
    <x v="1"/>
    <x v="7"/>
    <x v="194"/>
    <x v="24"/>
  </r>
  <r>
    <s v="Kolkata Knight Riders"/>
    <s v="Gujarat Lions"/>
    <x v="9"/>
    <n v="2017"/>
    <d v="2017-04-21T00:00:00"/>
    <s v="Gujarat Lions"/>
    <x v="0"/>
    <x v="1"/>
    <x v="13"/>
    <x v="38"/>
    <x v="4"/>
  </r>
  <r>
    <s v="Rising Pune Supergiant"/>
    <s v="Sunrisers Hyderabad"/>
    <x v="9"/>
    <n v="2017"/>
    <d v="2017-04-22T00:00:00"/>
    <s v="Rising Pune Supergiant"/>
    <x v="0"/>
    <x v="1"/>
    <x v="14"/>
    <x v="13"/>
    <x v="27"/>
  </r>
  <r>
    <s v="Mumbai Indians"/>
    <s v="Delhi Daredevils"/>
    <x v="9"/>
    <n v="2017"/>
    <d v="2017-04-22T00:00:00"/>
    <s v="Delhi Daredevils"/>
    <x v="0"/>
    <x v="0"/>
    <x v="7"/>
    <x v="175"/>
    <x v="3"/>
  </r>
  <r>
    <s v="Kolkata Knight Riders"/>
    <s v="Royal Challengers Bangalore"/>
    <x v="9"/>
    <n v="2017"/>
    <d v="2017-04-23T00:00:00"/>
    <s v="Royal Challengers Bangalore"/>
    <x v="0"/>
    <x v="0"/>
    <x v="0"/>
    <x v="170"/>
    <x v="4"/>
  </r>
  <r>
    <s v="Gujarat Lions"/>
    <s v="Kings XI Punjab"/>
    <x v="9"/>
    <n v="2017"/>
    <d v="2017-04-23T00:00:00"/>
    <s v="Gujarat Lions"/>
    <x v="0"/>
    <x v="0"/>
    <x v="5"/>
    <x v="186"/>
    <x v="34"/>
  </r>
  <r>
    <s v="Mumbai Indians"/>
    <s v="Rising Pune Supergiant"/>
    <x v="9"/>
    <n v="2017"/>
    <d v="2017-04-24T00:00:00"/>
    <s v="Mumbai Indians"/>
    <x v="0"/>
    <x v="0"/>
    <x v="14"/>
    <x v="192"/>
    <x v="3"/>
  </r>
  <r>
    <s v="Rising Pune Supergiant"/>
    <s v="Kolkata Knight Riders"/>
    <x v="9"/>
    <n v="2017"/>
    <d v="2017-04-26T00:00:00"/>
    <s v="Kolkata Knight Riders"/>
    <x v="0"/>
    <x v="1"/>
    <x v="0"/>
    <x v="75"/>
    <x v="27"/>
  </r>
  <r>
    <s v="Royal Challengers Bangalore"/>
    <s v="Gujarat Lions"/>
    <x v="9"/>
    <n v="2017"/>
    <d v="2017-04-27T00:00:00"/>
    <s v="Gujarat Lions"/>
    <x v="0"/>
    <x v="1"/>
    <x v="13"/>
    <x v="191"/>
    <x v="0"/>
  </r>
  <r>
    <s v="Kings XI Punjab"/>
    <s v="Sunrisers Hyderabad"/>
    <x v="9"/>
    <n v="2017"/>
    <d v="2017-04-28T00:00:00"/>
    <s v="Kings XI Punjab"/>
    <x v="0"/>
    <x v="0"/>
    <x v="11"/>
    <x v="188"/>
    <x v="33"/>
  </r>
  <r>
    <s v="Kolkata Knight Riders"/>
    <s v="Delhi Daredevils"/>
    <x v="9"/>
    <n v="2017"/>
    <d v="2017-04-28T00:00:00"/>
    <s v="Kolkata Knight Riders"/>
    <x v="0"/>
    <x v="1"/>
    <x v="0"/>
    <x v="56"/>
    <x v="4"/>
  </r>
  <r>
    <s v="Rising Pune Supergiant"/>
    <s v="Royal Challengers Bangalore"/>
    <x v="9"/>
    <n v="2017"/>
    <d v="2017-04-29T00:00:00"/>
    <s v="Royal Challengers Bangalore"/>
    <x v="0"/>
    <x v="0"/>
    <x v="14"/>
    <x v="195"/>
    <x v="27"/>
  </r>
  <r>
    <s v="Gujarat Lions"/>
    <s v="Mumbai Indians"/>
    <x v="9"/>
    <n v="2017"/>
    <d v="2017-04-29T00:00:00"/>
    <s v="Gujarat Lions"/>
    <x v="1"/>
    <x v="0"/>
    <x v="8"/>
    <x v="185"/>
    <x v="34"/>
  </r>
  <r>
    <s v="Sunrisers Hyderabad"/>
    <s v="Kolkata Knight Riders"/>
    <x v="9"/>
    <n v="2017"/>
    <d v="2017-04-30T00:00:00"/>
    <s v="Kolkata Knight Riders"/>
    <x v="0"/>
    <x v="0"/>
    <x v="11"/>
    <x v="79"/>
    <x v="6"/>
  </r>
  <r>
    <s v="Kings XI Punjab"/>
    <s v="Delhi Daredevils"/>
    <x v="9"/>
    <n v="2017"/>
    <d v="2017-04-30T00:00:00"/>
    <s v="Kings XI Punjab"/>
    <x v="0"/>
    <x v="1"/>
    <x v="5"/>
    <x v="156"/>
    <x v="33"/>
  </r>
  <r>
    <s v="Rising Pune Supergiant"/>
    <s v="Gujarat Lions"/>
    <x v="9"/>
    <n v="2017"/>
    <d v="2017-05-01T00:00:00"/>
    <s v="Rising Pune Supergiant"/>
    <x v="0"/>
    <x v="1"/>
    <x v="14"/>
    <x v="192"/>
    <x v="27"/>
  </r>
  <r>
    <s v="Mumbai Indians"/>
    <s v="Royal Challengers Bangalore"/>
    <x v="9"/>
    <n v="2017"/>
    <d v="2017-05-01T00:00:00"/>
    <s v="Royal Challengers Bangalore"/>
    <x v="1"/>
    <x v="0"/>
    <x v="7"/>
    <x v="57"/>
    <x v="3"/>
  </r>
  <r>
    <s v="Delhi Daredevils"/>
    <s v="Sunrisers Hyderabad"/>
    <x v="9"/>
    <n v="2017"/>
    <d v="2017-05-02T00:00:00"/>
    <s v="Delhi Daredevils"/>
    <x v="0"/>
    <x v="1"/>
    <x v="2"/>
    <x v="196"/>
    <x v="2"/>
  </r>
  <r>
    <s v="Kolkata Knight Riders"/>
    <s v="Rising Pune Supergiant"/>
    <x v="9"/>
    <n v="2017"/>
    <d v="2017-05-03T00:00:00"/>
    <s v="Rising Pune Supergiant"/>
    <x v="0"/>
    <x v="1"/>
    <x v="14"/>
    <x v="197"/>
    <x v="4"/>
  </r>
  <r>
    <s v="Delhi Daredevils"/>
    <s v="Gujarat Lions"/>
    <x v="9"/>
    <n v="2017"/>
    <d v="2017-05-04T00:00:00"/>
    <s v="Delhi Daredevils"/>
    <x v="0"/>
    <x v="1"/>
    <x v="2"/>
    <x v="182"/>
    <x v="2"/>
  </r>
  <r>
    <s v="Royal Challengers Bangalore"/>
    <s v="Kings XI Punjab"/>
    <x v="9"/>
    <n v="2017"/>
    <d v="2017-05-05T00:00:00"/>
    <s v="Royal Challengers Bangalore"/>
    <x v="0"/>
    <x v="0"/>
    <x v="5"/>
    <x v="156"/>
    <x v="0"/>
  </r>
  <r>
    <s v="Delhi Daredevils"/>
    <s v="Mumbai Indians"/>
    <x v="9"/>
    <n v="2017"/>
    <d v="2017-05-06T00:00:00"/>
    <s v="Delhi Daredevils"/>
    <x v="0"/>
    <x v="0"/>
    <x v="7"/>
    <x v="161"/>
    <x v="2"/>
  </r>
  <r>
    <s v="Sunrisers Hyderabad"/>
    <s v="Rising Pune Supergiant"/>
    <x v="9"/>
    <n v="2017"/>
    <d v="2017-05-06T00:00:00"/>
    <s v="Sunrisers Hyderabad"/>
    <x v="0"/>
    <x v="0"/>
    <x v="14"/>
    <x v="93"/>
    <x v="6"/>
  </r>
  <r>
    <s v="Royal Challengers Bangalore"/>
    <s v="Kolkata Knight Riders"/>
    <x v="9"/>
    <n v="2017"/>
    <d v="2017-05-07T00:00:00"/>
    <s v="Kolkata Knight Riders"/>
    <x v="0"/>
    <x v="1"/>
    <x v="0"/>
    <x v="127"/>
    <x v="0"/>
  </r>
  <r>
    <s v="Kings XI Punjab"/>
    <s v="Gujarat Lions"/>
    <x v="9"/>
    <n v="2017"/>
    <d v="2017-05-07T00:00:00"/>
    <s v="Gujarat Lions"/>
    <x v="0"/>
    <x v="1"/>
    <x v="13"/>
    <x v="60"/>
    <x v="33"/>
  </r>
  <r>
    <s v="Sunrisers Hyderabad"/>
    <s v="Mumbai Indians"/>
    <x v="9"/>
    <n v="2017"/>
    <d v="2017-05-08T00:00:00"/>
    <s v="Mumbai Indians"/>
    <x v="1"/>
    <x v="0"/>
    <x v="11"/>
    <x v="114"/>
    <x v="6"/>
  </r>
  <r>
    <s v="Kings XI Punjab"/>
    <s v="Kolkata Knight Riders"/>
    <x v="9"/>
    <n v="2017"/>
    <d v="2017-05-09T00:00:00"/>
    <s v="Kolkata Knight Riders"/>
    <x v="0"/>
    <x v="0"/>
    <x v="5"/>
    <x v="154"/>
    <x v="33"/>
  </r>
  <r>
    <s v="Gujarat Lions"/>
    <s v="Delhi Daredevils"/>
    <x v="9"/>
    <n v="2017"/>
    <d v="2017-05-10T00:00:00"/>
    <s v="Delhi Daredevils"/>
    <x v="0"/>
    <x v="1"/>
    <x v="2"/>
    <x v="166"/>
    <x v="35"/>
  </r>
  <r>
    <s v="Mumbai Indians"/>
    <s v="Kings XI Punjab"/>
    <x v="9"/>
    <n v="2017"/>
    <d v="2017-05-11T00:00:00"/>
    <s v="Mumbai Indians"/>
    <x v="0"/>
    <x v="0"/>
    <x v="5"/>
    <x v="113"/>
    <x v="3"/>
  </r>
  <r>
    <s v="Delhi Daredevils"/>
    <s v="Rising Pune Supergiant"/>
    <x v="9"/>
    <n v="2017"/>
    <d v="2017-05-12T00:00:00"/>
    <s v="Delhi Daredevils"/>
    <x v="1"/>
    <x v="1"/>
    <x v="2"/>
    <x v="159"/>
    <x v="2"/>
  </r>
  <r>
    <s v="Kolkata Knight Riders"/>
    <s v="Mumbai Indians"/>
    <x v="9"/>
    <n v="2017"/>
    <d v="2017-05-13T00:00:00"/>
    <s v="Kolkata Knight Riders"/>
    <x v="0"/>
    <x v="0"/>
    <x v="7"/>
    <x v="83"/>
    <x v="4"/>
  </r>
  <r>
    <s v="Gujarat Lions"/>
    <s v="Sunrisers Hyderabad"/>
    <x v="9"/>
    <n v="2017"/>
    <d v="2017-05-13T00:00:00"/>
    <s v="Sunrisers Hyderabad"/>
    <x v="0"/>
    <x v="1"/>
    <x v="11"/>
    <x v="198"/>
    <x v="35"/>
  </r>
  <r>
    <s v="Delhi Daredevils"/>
    <s v="Royal Challengers Bangalore"/>
    <x v="9"/>
    <n v="2017"/>
    <d v="2017-05-14T00:00:00"/>
    <s v="Royal Challengers Bangalore"/>
    <x v="1"/>
    <x v="1"/>
    <x v="3"/>
    <x v="199"/>
    <x v="2"/>
  </r>
  <r>
    <s v="Rising Pune Supergiant"/>
    <s v="Kings XI Punjab"/>
    <x v="9"/>
    <n v="2017"/>
    <d v="2017-05-14T00:00:00"/>
    <s v="Rising Pune Supergiant"/>
    <x v="0"/>
    <x v="1"/>
    <x v="14"/>
    <x v="93"/>
    <x v="27"/>
  </r>
  <r>
    <s v="Mumbai Indians"/>
    <s v="Rising Pune Supergiant"/>
    <x v="9"/>
    <n v="2017"/>
    <d v="2017-05-16T00:00:00"/>
    <s v="Mumbai Indians"/>
    <x v="0"/>
    <x v="0"/>
    <x v="14"/>
    <x v="200"/>
    <x v="3"/>
  </r>
  <r>
    <s v="Sunrisers Hyderabad"/>
    <s v="Kolkata Knight Riders"/>
    <x v="9"/>
    <n v="2017"/>
    <d v="2017-05-17T00:00:00"/>
    <s v="Kolkata Knight Riders"/>
    <x v="0"/>
    <x v="1"/>
    <x v="0"/>
    <x v="170"/>
    <x v="0"/>
  </r>
  <r>
    <s v="Mumbai Indians"/>
    <s v="Kolkata Knight Riders"/>
    <x v="9"/>
    <n v="2017"/>
    <d v="2017-05-19T00:00:00"/>
    <s v="Mumbai Indians"/>
    <x v="0"/>
    <x v="1"/>
    <x v="7"/>
    <x v="201"/>
    <x v="0"/>
  </r>
  <r>
    <s v="Mumbai Indians"/>
    <s v="Rising Pune Supergiant"/>
    <x v="9"/>
    <n v="2017"/>
    <d v="2017-05-21T00:00:00"/>
    <s v="Mumbai Indians"/>
    <x v="1"/>
    <x v="1"/>
    <x v="7"/>
    <x v="185"/>
    <x v="6"/>
  </r>
  <r>
    <s v="Mumbai Indians"/>
    <s v="Chennai Super Kings"/>
    <x v="10"/>
    <n v="2018"/>
    <d v="2018-04-07T00:00:00"/>
    <s v="Chennai Super Kings"/>
    <x v="0"/>
    <x v="1"/>
    <x v="1"/>
    <x v="30"/>
    <x v="3"/>
  </r>
  <r>
    <s v="Delhi Daredevils"/>
    <s v="Kings XI Punjab"/>
    <x v="10"/>
    <n v="2018"/>
    <d v="2018-04-08T00:00:00"/>
    <s v="Kings XI Punjab"/>
    <x v="0"/>
    <x v="1"/>
    <x v="5"/>
    <x v="202"/>
    <x v="37"/>
  </r>
  <r>
    <s v="Royal Challengers Bangalore"/>
    <s v="Kolkata Knight Riders"/>
    <x v="10"/>
    <n v="2018"/>
    <d v="2018-04-08T00:00:00"/>
    <s v="Kolkata Knight Riders"/>
    <x v="0"/>
    <x v="1"/>
    <x v="0"/>
    <x v="127"/>
    <x v="4"/>
  </r>
  <r>
    <s v="Rajasthan Royals"/>
    <s v="Sunrisers Hyderabad"/>
    <x v="10"/>
    <n v="2018"/>
    <d v="2018-04-09T00:00:00"/>
    <s v="Sunrisers Hyderabad"/>
    <x v="0"/>
    <x v="1"/>
    <x v="11"/>
    <x v="114"/>
    <x v="38"/>
  </r>
  <r>
    <s v="Kolkata Knight Riders"/>
    <s v="Chennai Super Kings"/>
    <x v="10"/>
    <n v="2018"/>
    <d v="2018-04-10T00:00:00"/>
    <s v="Chennai Super Kings"/>
    <x v="0"/>
    <x v="1"/>
    <x v="1"/>
    <x v="203"/>
    <x v="39"/>
  </r>
  <r>
    <s v="Rajasthan Royals"/>
    <s v="Delhi Daredevils"/>
    <x v="10"/>
    <n v="2018"/>
    <d v="2018-04-11T00:00:00"/>
    <s v="Delhi Daredevils"/>
    <x v="0"/>
    <x v="0"/>
    <x v="4"/>
    <x v="144"/>
    <x v="5"/>
  </r>
  <r>
    <s v="Mumbai Indians"/>
    <s v="Sunrisers Hyderabad"/>
    <x v="10"/>
    <n v="2018"/>
    <d v="2018-04-12T00:00:00"/>
    <s v="Sunrisers Hyderabad"/>
    <x v="0"/>
    <x v="1"/>
    <x v="11"/>
    <x v="188"/>
    <x v="38"/>
  </r>
  <r>
    <s v="Kings XI Punjab"/>
    <s v="Royal Challengers Bangalore"/>
    <x v="10"/>
    <n v="2018"/>
    <d v="2018-04-13T00:00:00"/>
    <s v="Royal Challengers Bangalore"/>
    <x v="0"/>
    <x v="1"/>
    <x v="3"/>
    <x v="136"/>
    <x v="36"/>
  </r>
  <r>
    <s v="Mumbai Indians"/>
    <s v="Delhi Daredevils"/>
    <x v="10"/>
    <n v="2018"/>
    <d v="2018-04-14T00:00:00"/>
    <s v="Delhi Daredevils"/>
    <x v="0"/>
    <x v="1"/>
    <x v="2"/>
    <x v="204"/>
    <x v="3"/>
  </r>
  <r>
    <s v="Kolkata Knight Riders"/>
    <s v="Sunrisers Hyderabad"/>
    <x v="10"/>
    <n v="2018"/>
    <d v="2018-04-14T00:00:00"/>
    <s v="Sunrisers Hyderabad"/>
    <x v="0"/>
    <x v="1"/>
    <x v="11"/>
    <x v="205"/>
    <x v="4"/>
  </r>
  <r>
    <s v="Rajasthan Royals"/>
    <s v="Royal Challengers Bangalore"/>
    <x v="10"/>
    <n v="2018"/>
    <d v="2018-04-15T00:00:00"/>
    <s v="Royal Challengers Bangalore"/>
    <x v="0"/>
    <x v="0"/>
    <x v="4"/>
    <x v="144"/>
    <x v="36"/>
  </r>
  <r>
    <s v="Kings XI Punjab"/>
    <s v="Chennai Super Kings"/>
    <x v="10"/>
    <n v="2018"/>
    <d v="2018-04-15T00:00:00"/>
    <s v="Chennai Super Kings"/>
    <x v="0"/>
    <x v="0"/>
    <x v="5"/>
    <x v="45"/>
    <x v="37"/>
  </r>
  <r>
    <s v="Kolkata Knight Riders"/>
    <s v="Delhi Daredevils"/>
    <x v="10"/>
    <n v="2018"/>
    <d v="2018-04-16T00:00:00"/>
    <s v="Delhi Daredevils"/>
    <x v="0"/>
    <x v="0"/>
    <x v="0"/>
    <x v="189"/>
    <x v="4"/>
  </r>
  <r>
    <s v="Mumbai Indians"/>
    <s v="Royal Challengers Bangalore"/>
    <x v="10"/>
    <n v="2018"/>
    <d v="2018-04-17T00:00:00"/>
    <s v="Royal Challengers Bangalore"/>
    <x v="0"/>
    <x v="0"/>
    <x v="7"/>
    <x v="57"/>
    <x v="3"/>
  </r>
  <r>
    <s v="Rajasthan Royals"/>
    <s v="Kolkata Knight Riders"/>
    <x v="10"/>
    <n v="2018"/>
    <d v="2018-04-18T00:00:00"/>
    <s v="Kolkata Knight Riders"/>
    <x v="0"/>
    <x v="1"/>
    <x v="0"/>
    <x v="189"/>
    <x v="5"/>
  </r>
  <r>
    <s v="Kings XI Punjab"/>
    <s v="Sunrisers Hyderabad"/>
    <x v="10"/>
    <n v="2018"/>
    <d v="2018-04-19T00:00:00"/>
    <s v="Kings XI Punjab"/>
    <x v="1"/>
    <x v="1"/>
    <x v="5"/>
    <x v="45"/>
    <x v="37"/>
  </r>
  <r>
    <s v="Chennai Super Kings"/>
    <s v="Rajasthan Royals"/>
    <x v="10"/>
    <n v="2018"/>
    <d v="2018-04-20T00:00:00"/>
    <s v="Rajasthan Royals"/>
    <x v="0"/>
    <x v="0"/>
    <x v="1"/>
    <x v="5"/>
    <x v="27"/>
  </r>
  <r>
    <s v="Delhi Daredevils"/>
    <s v="Royal Challengers Bangalore"/>
    <x v="10"/>
    <n v="2018"/>
    <d v="2018-04-21T00:00:00"/>
    <s v="Royal Challengers Bangalore"/>
    <x v="0"/>
    <x v="1"/>
    <x v="3"/>
    <x v="46"/>
    <x v="36"/>
  </r>
  <r>
    <s v="Kolkata Knight Riders"/>
    <s v="Kings XI Punjab"/>
    <x v="10"/>
    <n v="2018"/>
    <d v="2018-04-21T00:00:00"/>
    <s v="Kings XI Punjab"/>
    <x v="0"/>
    <x v="1"/>
    <x v="5"/>
    <x v="202"/>
    <x v="4"/>
  </r>
  <r>
    <s v="Mumbai Indians"/>
    <s v="Rajasthan Royals"/>
    <x v="10"/>
    <n v="2018"/>
    <d v="2018-04-22T00:00:00"/>
    <s v="Mumbai Indians"/>
    <x v="1"/>
    <x v="0"/>
    <x v="4"/>
    <x v="206"/>
    <x v="5"/>
  </r>
  <r>
    <s v="Chennai Super Kings"/>
    <s v="Sunrisers Hyderabad"/>
    <x v="10"/>
    <n v="2018"/>
    <d v="2018-04-22T00:00:00"/>
    <s v="Sunrisers Hyderabad"/>
    <x v="0"/>
    <x v="0"/>
    <x v="1"/>
    <x v="83"/>
    <x v="38"/>
  </r>
  <r>
    <s v="Kings XI Punjab"/>
    <s v="Delhi Daredevils"/>
    <x v="10"/>
    <n v="2018"/>
    <d v="2018-04-23T00:00:00"/>
    <s v="Delhi Daredevils"/>
    <x v="0"/>
    <x v="0"/>
    <x v="5"/>
    <x v="207"/>
    <x v="40"/>
  </r>
  <r>
    <s v="Sunrisers Hyderabad"/>
    <s v="Mumbai Indians"/>
    <x v="10"/>
    <n v="2018"/>
    <d v="2018-04-24T00:00:00"/>
    <s v="Mumbai Indians"/>
    <x v="0"/>
    <x v="0"/>
    <x v="11"/>
    <x v="188"/>
    <x v="3"/>
  </r>
  <r>
    <s v="Royal Challengers Bangalore"/>
    <s v="Chennai Super Kings"/>
    <x v="10"/>
    <n v="2018"/>
    <d v="2018-04-25T00:00:00"/>
    <s v="Chennai Super Kings"/>
    <x v="0"/>
    <x v="1"/>
    <x v="1"/>
    <x v="13"/>
    <x v="36"/>
  </r>
  <r>
    <s v="Sunrisers Hyderabad"/>
    <s v="Kings XI Punjab"/>
    <x v="10"/>
    <n v="2018"/>
    <d v="2018-04-26T00:00:00"/>
    <s v="Kings XI Punjab"/>
    <x v="0"/>
    <x v="0"/>
    <x v="11"/>
    <x v="207"/>
    <x v="38"/>
  </r>
  <r>
    <s v="Delhi Daredevils"/>
    <s v="Kolkata Knight Riders"/>
    <x v="10"/>
    <n v="2018"/>
    <d v="2018-04-27T00:00:00"/>
    <s v="Kolkata Knight Riders"/>
    <x v="0"/>
    <x v="0"/>
    <x v="2"/>
    <x v="166"/>
    <x v="40"/>
  </r>
  <r>
    <s v="Chennai Super Kings"/>
    <s v="Mumbai Indians"/>
    <x v="10"/>
    <n v="2018"/>
    <d v="2018-04-28T00:00:00"/>
    <s v="Mumbai Indians"/>
    <x v="0"/>
    <x v="1"/>
    <x v="7"/>
    <x v="57"/>
    <x v="27"/>
  </r>
  <r>
    <s v="Sunrisers Hyderabad"/>
    <s v="Rajasthan Royals"/>
    <x v="10"/>
    <n v="2018"/>
    <d v="2018-04-29T00:00:00"/>
    <s v="Sunrisers Hyderabad"/>
    <x v="1"/>
    <x v="1"/>
    <x v="11"/>
    <x v="193"/>
    <x v="5"/>
  </r>
  <r>
    <s v="Royal Challengers Bangalore"/>
    <s v="Kolkata Knight Riders"/>
    <x v="10"/>
    <n v="2018"/>
    <d v="2018-04-29T00:00:00"/>
    <s v="Kolkata Knight Riders"/>
    <x v="0"/>
    <x v="1"/>
    <x v="0"/>
    <x v="153"/>
    <x v="36"/>
  </r>
  <r>
    <s v="Chennai Super Kings"/>
    <s v="Delhi Daredevils"/>
    <x v="10"/>
    <n v="2018"/>
    <d v="2018-04-30T00:00:00"/>
    <s v="Delhi Daredevils"/>
    <x v="0"/>
    <x v="0"/>
    <x v="1"/>
    <x v="5"/>
    <x v="27"/>
  </r>
  <r>
    <s v="Royal Challengers Bangalore"/>
    <s v="Mumbai Indians"/>
    <x v="10"/>
    <n v="2018"/>
    <d v="2018-05-01T00:00:00"/>
    <s v="Mumbai Indians"/>
    <x v="0"/>
    <x v="0"/>
    <x v="3"/>
    <x v="208"/>
    <x v="36"/>
  </r>
  <r>
    <s v="Delhi Daredevils"/>
    <s v="Rajasthan Royals"/>
    <x v="10"/>
    <n v="2018"/>
    <d v="2018-05-02T00:00:00"/>
    <s v="Rajasthan Royals"/>
    <x v="0"/>
    <x v="0"/>
    <x v="2"/>
    <x v="182"/>
    <x v="40"/>
  </r>
  <r>
    <s v="Chennai Super Kings"/>
    <s v="Kolkata Knight Riders"/>
    <x v="10"/>
    <n v="2018"/>
    <d v="2018-05-03T00:00:00"/>
    <s v="Kolkata Knight Riders"/>
    <x v="0"/>
    <x v="1"/>
    <x v="0"/>
    <x v="127"/>
    <x v="4"/>
  </r>
  <r>
    <s v="Kings XI Punjab"/>
    <s v="Mumbai Indians"/>
    <x v="10"/>
    <n v="2018"/>
    <d v="2018-05-04T00:00:00"/>
    <s v="Mumbai Indians"/>
    <x v="0"/>
    <x v="1"/>
    <x v="7"/>
    <x v="178"/>
    <x v="24"/>
  </r>
  <r>
    <s v="Royal Challengers Bangalore"/>
    <s v="Chennai Super Kings"/>
    <x v="10"/>
    <n v="2018"/>
    <d v="2018-05-05T00:00:00"/>
    <s v="Chennai Super Kings"/>
    <x v="0"/>
    <x v="1"/>
    <x v="1"/>
    <x v="120"/>
    <x v="27"/>
  </r>
  <r>
    <s v="Delhi Daredevils"/>
    <s v="Sunrisers Hyderabad"/>
    <x v="10"/>
    <n v="2018"/>
    <d v="2018-05-05T00:00:00"/>
    <s v="Delhi Daredevils"/>
    <x v="1"/>
    <x v="0"/>
    <x v="11"/>
    <x v="188"/>
    <x v="38"/>
  </r>
  <r>
    <s v="Rajasthan Royals"/>
    <s v="Kings XI Punjab"/>
    <x v="10"/>
    <n v="2018"/>
    <d v="2018-05-06T00:00:00"/>
    <s v="Kings XI Punjab"/>
    <x v="0"/>
    <x v="1"/>
    <x v="5"/>
    <x v="209"/>
    <x v="24"/>
  </r>
  <r>
    <s v="Mumbai Indians"/>
    <s v="Kolkata Knight Riders"/>
    <x v="10"/>
    <n v="2018"/>
    <d v="2018-05-06T00:00:00"/>
    <s v="Kolkata Knight Riders"/>
    <x v="0"/>
    <x v="0"/>
    <x v="7"/>
    <x v="172"/>
    <x v="3"/>
  </r>
  <r>
    <s v="Sunrisers Hyderabad"/>
    <s v="Royal Challengers Bangalore"/>
    <x v="10"/>
    <n v="2018"/>
    <d v="2018-05-07T00:00:00"/>
    <s v="Royal Challengers Bangalore"/>
    <x v="0"/>
    <x v="0"/>
    <x v="11"/>
    <x v="193"/>
    <x v="38"/>
  </r>
  <r>
    <s v="Rajasthan Royals"/>
    <s v="Kings XI Punjab"/>
    <x v="10"/>
    <n v="2018"/>
    <d v="2018-05-08T00:00:00"/>
    <s v="Rajasthan Royals"/>
    <x v="1"/>
    <x v="1"/>
    <x v="4"/>
    <x v="194"/>
    <x v="5"/>
  </r>
  <r>
    <s v="Mumbai Indians"/>
    <s v="Kolkata Knight Riders"/>
    <x v="10"/>
    <n v="2018"/>
    <d v="2018-05-09T00:00:00"/>
    <s v="Kolkata Knight Riders"/>
    <x v="0"/>
    <x v="0"/>
    <x v="7"/>
    <x v="210"/>
    <x v="4"/>
  </r>
  <r>
    <s v="Delhi Daredevils"/>
    <s v="Sunrisers Hyderabad"/>
    <x v="10"/>
    <n v="2018"/>
    <d v="2018-05-10T00:00:00"/>
    <s v="Delhi Daredevils"/>
    <x v="1"/>
    <x v="0"/>
    <x v="11"/>
    <x v="114"/>
    <x v="40"/>
  </r>
  <r>
    <s v="Chennai Super Kings"/>
    <s v="Rajasthan Royals"/>
    <x v="10"/>
    <n v="2018"/>
    <d v="2018-05-11T00:00:00"/>
    <s v="Chennai Super Kings"/>
    <x v="1"/>
    <x v="0"/>
    <x v="4"/>
    <x v="194"/>
    <x v="5"/>
  </r>
  <r>
    <s v="Delhi Daredevils"/>
    <s v="Royal Challengers Bangalore"/>
    <x v="10"/>
    <n v="2018"/>
    <d v="2018-05-12T00:00:00"/>
    <s v="Royal Challengers Bangalore"/>
    <x v="0"/>
    <x v="1"/>
    <x v="3"/>
    <x v="46"/>
    <x v="40"/>
  </r>
  <r>
    <s v="Kolkata Knight Riders"/>
    <s v="Kings XI Punjab"/>
    <x v="10"/>
    <n v="2018"/>
    <d v="2018-05-12T00:00:00"/>
    <s v="Kings XI Punjab"/>
    <x v="0"/>
    <x v="0"/>
    <x v="0"/>
    <x v="127"/>
    <x v="24"/>
  </r>
  <r>
    <s v="Mumbai Indians"/>
    <s v="Rajasthan Royals"/>
    <x v="10"/>
    <n v="2018"/>
    <d v="2018-05-13T00:00:00"/>
    <s v="Rajasthan Royals"/>
    <x v="0"/>
    <x v="1"/>
    <x v="4"/>
    <x v="194"/>
    <x v="3"/>
  </r>
  <r>
    <s v="Sunrisers Hyderabad"/>
    <s v="Chennai Super Kings"/>
    <x v="10"/>
    <n v="2018"/>
    <d v="2018-05-13T00:00:00"/>
    <s v="Chennai Super Kings"/>
    <x v="0"/>
    <x v="1"/>
    <x v="1"/>
    <x v="83"/>
    <x v="27"/>
  </r>
  <r>
    <s v="Kings XI Punjab"/>
    <s v="Royal Challengers Bangalore"/>
    <x v="10"/>
    <n v="2018"/>
    <d v="2018-05-14T00:00:00"/>
    <s v="Royal Challengers Bangalore"/>
    <x v="0"/>
    <x v="1"/>
    <x v="3"/>
    <x v="136"/>
    <x v="24"/>
  </r>
  <r>
    <s v="Rajasthan Royals"/>
    <s v="Kolkata Knight Riders"/>
    <x v="10"/>
    <n v="2018"/>
    <d v="2018-05-15T00:00:00"/>
    <s v="Kolkata Knight Riders"/>
    <x v="0"/>
    <x v="1"/>
    <x v="0"/>
    <x v="211"/>
    <x v="4"/>
  </r>
  <r>
    <s v="Mumbai Indians"/>
    <s v="Kings XI Punjab"/>
    <x v="10"/>
    <n v="2018"/>
    <d v="2018-05-16T00:00:00"/>
    <s v="Kings XI Punjab"/>
    <x v="0"/>
    <x v="0"/>
    <x v="7"/>
    <x v="190"/>
    <x v="3"/>
  </r>
  <r>
    <s v="Royal Challengers Bangalore"/>
    <s v="Sunrisers Hyderabad"/>
    <x v="10"/>
    <n v="2018"/>
    <d v="2018-05-17T00:00:00"/>
    <s v="Sunrisers Hyderabad"/>
    <x v="0"/>
    <x v="0"/>
    <x v="3"/>
    <x v="46"/>
    <x v="36"/>
  </r>
  <r>
    <s v="Delhi Daredevils"/>
    <s v="Chennai Super Kings"/>
    <x v="10"/>
    <n v="2018"/>
    <d v="2018-05-18T00:00:00"/>
    <s v="Chennai Super Kings"/>
    <x v="0"/>
    <x v="0"/>
    <x v="2"/>
    <x v="199"/>
    <x v="40"/>
  </r>
  <r>
    <s v="Rajasthan Royals"/>
    <s v="Royal Challengers Bangalore"/>
    <x v="10"/>
    <n v="2018"/>
    <d v="2018-05-19T00:00:00"/>
    <s v="Rajasthan Royals"/>
    <x v="1"/>
    <x v="1"/>
    <x v="4"/>
    <x v="212"/>
    <x v="5"/>
  </r>
  <r>
    <s v="Sunrisers Hyderabad"/>
    <s v="Kolkata Knight Riders"/>
    <x v="10"/>
    <n v="2018"/>
    <d v="2018-05-19T00:00:00"/>
    <s v="Sunrisers Hyderabad"/>
    <x v="1"/>
    <x v="0"/>
    <x v="0"/>
    <x v="153"/>
    <x v="38"/>
  </r>
  <r>
    <s v="Kings XI Punjab"/>
    <s v="Chennai Super Kings"/>
    <x v="10"/>
    <n v="2018"/>
    <d v="2018-05-20T00:00:00"/>
    <s v="Chennai Super Kings"/>
    <x v="0"/>
    <x v="1"/>
    <x v="1"/>
    <x v="213"/>
    <x v="27"/>
  </r>
  <r>
    <s v="Delhi Daredevils"/>
    <s v="Mumbai Indians"/>
    <x v="10"/>
    <n v="2018"/>
    <d v="2018-05-20T00:00:00"/>
    <s v="Delhi Daredevils"/>
    <x v="1"/>
    <x v="1"/>
    <x v="2"/>
    <x v="27"/>
    <x v="40"/>
  </r>
  <r>
    <s v="Sunrisers Hyderabad"/>
    <s v="Chennai Super Kings"/>
    <x v="10"/>
    <n v="2018"/>
    <d v="2018-05-22T00:00:00"/>
    <s v="Chennai Super Kings"/>
    <x v="0"/>
    <x v="1"/>
    <x v="1"/>
    <x v="123"/>
    <x v="3"/>
  </r>
  <r>
    <s v="Kolkata Knight Riders"/>
    <s v="Rajasthan Royals"/>
    <x v="10"/>
    <n v="2018"/>
    <d v="2018-05-23T00:00:00"/>
    <s v="Rajasthan Royals"/>
    <x v="0"/>
    <x v="0"/>
    <x v="0"/>
    <x v="165"/>
    <x v="4"/>
  </r>
  <r>
    <s v="Sunrisers Hyderabad"/>
    <s v="Kolkata Knight Riders"/>
    <x v="10"/>
    <n v="2018"/>
    <d v="2018-05-25T00:00:00"/>
    <s v="Kolkata Knight Riders"/>
    <x v="0"/>
    <x v="0"/>
    <x v="11"/>
    <x v="188"/>
    <x v="4"/>
  </r>
  <r>
    <s v="Sunrisers Hyderabad"/>
    <s v="Chennai Super Kings"/>
    <x v="10"/>
    <n v="2018"/>
    <d v="2018-05-27T00:00:00"/>
    <s v="Chennai Super Kings"/>
    <x v="0"/>
    <x v="1"/>
    <x v="1"/>
    <x v="5"/>
    <x v="3"/>
  </r>
  <r>
    <s v="Royal Challengers Bangalore"/>
    <s v="Chennai Super Kings"/>
    <x v="11"/>
    <n v="2019"/>
    <d v="2019-03-23T00:00:00"/>
    <s v="Chennai Super Kings"/>
    <x v="0"/>
    <x v="1"/>
    <x v="1"/>
    <x v="62"/>
    <x v="39"/>
  </r>
  <r>
    <s v="Sunrisers Hyderabad"/>
    <s v="Kolkata Knight Riders"/>
    <x v="11"/>
    <n v="2019"/>
    <d v="2019-03-24T00:00:00"/>
    <s v="Kolkata Knight Riders"/>
    <x v="0"/>
    <x v="1"/>
    <x v="0"/>
    <x v="165"/>
    <x v="4"/>
  </r>
  <r>
    <s v="Delhi Capitals"/>
    <s v="Mumbai Indians"/>
    <x v="11"/>
    <n v="2019"/>
    <d v="2019-03-24T00:00:00"/>
    <s v="Mumbai Indians"/>
    <x v="0"/>
    <x v="0"/>
    <x v="15"/>
    <x v="182"/>
    <x v="3"/>
  </r>
  <r>
    <s v="Kings XI Punjab"/>
    <s v="Rajasthan Royals"/>
    <x v="11"/>
    <n v="2019"/>
    <d v="2019-03-25T00:00:00"/>
    <s v="Rajasthan Royals"/>
    <x v="0"/>
    <x v="0"/>
    <x v="5"/>
    <x v="45"/>
    <x v="5"/>
  </r>
  <r>
    <s v="Delhi Capitals"/>
    <s v="Chennai Super Kings"/>
    <x v="11"/>
    <n v="2019"/>
    <d v="2019-03-26T00:00:00"/>
    <s v="Delhi Capitals"/>
    <x v="1"/>
    <x v="0"/>
    <x v="1"/>
    <x v="5"/>
    <x v="40"/>
  </r>
  <r>
    <s v="Kolkata Knight Riders"/>
    <s v="Kings XI Punjab"/>
    <x v="11"/>
    <n v="2019"/>
    <d v="2019-03-27T00:00:00"/>
    <s v="Kings XI Punjab"/>
    <x v="0"/>
    <x v="0"/>
    <x v="0"/>
    <x v="165"/>
    <x v="4"/>
  </r>
  <r>
    <s v="Mumbai Indians"/>
    <s v="Royal Challengers Bangalore"/>
    <x v="11"/>
    <n v="2019"/>
    <d v="2019-03-28T00:00:00"/>
    <s v="Royal Challengers Bangalore"/>
    <x v="0"/>
    <x v="0"/>
    <x v="7"/>
    <x v="190"/>
    <x v="36"/>
  </r>
  <r>
    <s v="Rajasthan Royals"/>
    <s v="Sunrisers Hyderabad"/>
    <x v="11"/>
    <n v="2019"/>
    <d v="2019-03-29T00:00:00"/>
    <s v="Rajasthan Royals"/>
    <x v="1"/>
    <x v="0"/>
    <x v="11"/>
    <x v="188"/>
    <x v="38"/>
  </r>
  <r>
    <s v="Kolkata Knight Riders"/>
    <s v="Delhi Capitals"/>
    <x v="11"/>
    <n v="2019"/>
    <d v="2019-03-30T00:00:00"/>
    <s v="Delhi Capitals"/>
    <x v="0"/>
    <x v="0"/>
    <x v="8"/>
    <x v="214"/>
    <x v="40"/>
  </r>
  <r>
    <s v="Mumbai Indians"/>
    <s v="Kings XI Punjab"/>
    <x v="11"/>
    <n v="2019"/>
    <d v="2019-03-30T00:00:00"/>
    <s v="Kings XI Punjab"/>
    <x v="0"/>
    <x v="1"/>
    <x v="5"/>
    <x v="164"/>
    <x v="37"/>
  </r>
  <r>
    <s v="Chennai Super Kings"/>
    <s v="Rajasthan Royals"/>
    <x v="11"/>
    <n v="2019"/>
    <d v="2019-03-31T00:00:00"/>
    <s v="Rajasthan Royals"/>
    <x v="0"/>
    <x v="0"/>
    <x v="1"/>
    <x v="13"/>
    <x v="39"/>
  </r>
  <r>
    <s v="Sunrisers Hyderabad"/>
    <s v="Royal Challengers Bangalore"/>
    <x v="11"/>
    <n v="2019"/>
    <d v="2019-03-31T00:00:00"/>
    <s v="Royal Challengers Bangalore"/>
    <x v="0"/>
    <x v="0"/>
    <x v="11"/>
    <x v="215"/>
    <x v="38"/>
  </r>
  <r>
    <s v="Kings XI Punjab"/>
    <s v="Delhi Capitals"/>
    <x v="11"/>
    <n v="2019"/>
    <d v="2019-04-01T00:00:00"/>
    <s v="Delhi Capitals"/>
    <x v="0"/>
    <x v="0"/>
    <x v="5"/>
    <x v="216"/>
    <x v="37"/>
  </r>
  <r>
    <s v="Royal Challengers Bangalore"/>
    <s v="Rajasthan Royals"/>
    <x v="11"/>
    <n v="2019"/>
    <d v="2019-04-02T00:00:00"/>
    <s v="Rajasthan Royals"/>
    <x v="0"/>
    <x v="1"/>
    <x v="4"/>
    <x v="212"/>
    <x v="5"/>
  </r>
  <r>
    <s v="Mumbai Indians"/>
    <s v="Chennai Super Kings"/>
    <x v="11"/>
    <n v="2019"/>
    <d v="2019-04-03T00:00:00"/>
    <s v="Chennai Super Kings"/>
    <x v="0"/>
    <x v="0"/>
    <x v="7"/>
    <x v="172"/>
    <x v="3"/>
  </r>
  <r>
    <s v="Delhi Capitals"/>
    <s v="Sunrisers Hyderabad"/>
    <x v="11"/>
    <n v="2019"/>
    <d v="2019-04-04T00:00:00"/>
    <s v="Sunrisers Hyderabad"/>
    <x v="0"/>
    <x v="1"/>
    <x v="11"/>
    <x v="215"/>
    <x v="40"/>
  </r>
  <r>
    <s v="Royal Challengers Bangalore"/>
    <s v="Kolkata Knight Riders"/>
    <x v="11"/>
    <n v="2019"/>
    <d v="2019-04-05T00:00:00"/>
    <s v="Kolkata Knight Riders"/>
    <x v="0"/>
    <x v="1"/>
    <x v="0"/>
    <x v="165"/>
    <x v="36"/>
  </r>
  <r>
    <s v="Mumbai Indians"/>
    <s v="Sunrisers Hyderabad"/>
    <x v="11"/>
    <n v="2019"/>
    <d v="2019-04-06T00:00:00"/>
    <s v="Sunrisers Hyderabad"/>
    <x v="0"/>
    <x v="0"/>
    <x v="7"/>
    <x v="217"/>
    <x v="38"/>
  </r>
  <r>
    <s v="Chennai Super Kings"/>
    <s v="Kings XI Punjab"/>
    <x v="11"/>
    <n v="2019"/>
    <d v="2019-04-06T00:00:00"/>
    <s v="Chennai Super Kings"/>
    <x v="1"/>
    <x v="1"/>
    <x v="1"/>
    <x v="62"/>
    <x v="39"/>
  </r>
  <r>
    <s v="Royal Challengers Bangalore"/>
    <s v="Delhi Capitals"/>
    <x v="11"/>
    <n v="2019"/>
    <d v="2019-04-07T00:00:00"/>
    <s v="Delhi Capitals"/>
    <x v="0"/>
    <x v="1"/>
    <x v="15"/>
    <x v="218"/>
    <x v="36"/>
  </r>
  <r>
    <s v="Rajasthan Royals"/>
    <s v="Kolkata Knight Riders"/>
    <x v="11"/>
    <n v="2019"/>
    <d v="2019-04-07T00:00:00"/>
    <s v="Kolkata Knight Riders"/>
    <x v="0"/>
    <x v="1"/>
    <x v="0"/>
    <x v="219"/>
    <x v="5"/>
  </r>
  <r>
    <s v="Sunrisers Hyderabad"/>
    <s v="Kings XI Punjab"/>
    <x v="11"/>
    <n v="2019"/>
    <d v="2019-04-08T00:00:00"/>
    <s v="Kings XI Punjab"/>
    <x v="0"/>
    <x v="1"/>
    <x v="5"/>
    <x v="202"/>
    <x v="37"/>
  </r>
  <r>
    <s v="Kolkata Knight Riders"/>
    <s v="Chennai Super Kings"/>
    <x v="11"/>
    <n v="2019"/>
    <d v="2019-04-09T00:00:00"/>
    <s v="Chennai Super Kings"/>
    <x v="0"/>
    <x v="1"/>
    <x v="1"/>
    <x v="220"/>
    <x v="39"/>
  </r>
  <r>
    <s v="Kings XI Punjab"/>
    <s v="Mumbai Indians"/>
    <x v="11"/>
    <n v="2019"/>
    <d v="2019-04-10T00:00:00"/>
    <s v="Mumbai Indians"/>
    <x v="0"/>
    <x v="1"/>
    <x v="7"/>
    <x v="91"/>
    <x v="3"/>
  </r>
  <r>
    <s v="Rajasthan Royals"/>
    <s v="Chennai Super Kings"/>
    <x v="11"/>
    <n v="2019"/>
    <d v="2019-04-11T00:00:00"/>
    <s v="Chennai Super Kings"/>
    <x v="0"/>
    <x v="1"/>
    <x v="1"/>
    <x v="13"/>
    <x v="5"/>
  </r>
  <r>
    <s v="Kolkata Knight Riders"/>
    <s v="Delhi Capitals"/>
    <x v="11"/>
    <n v="2019"/>
    <d v="2019-04-12T00:00:00"/>
    <s v="Delhi Capitals"/>
    <x v="0"/>
    <x v="1"/>
    <x v="15"/>
    <x v="114"/>
    <x v="4"/>
  </r>
  <r>
    <s v="Kings XI Punjab"/>
    <s v="Royal Challengers Bangalore"/>
    <x v="11"/>
    <n v="2019"/>
    <d v="2019-04-13T00:00:00"/>
    <s v="Royal Challengers Bangalore"/>
    <x v="0"/>
    <x v="1"/>
    <x v="3"/>
    <x v="46"/>
    <x v="37"/>
  </r>
  <r>
    <s v="Mumbai Indians"/>
    <s v="Rajasthan Royals"/>
    <x v="11"/>
    <n v="2019"/>
    <d v="2019-04-13T00:00:00"/>
    <s v="Rajasthan Royals"/>
    <x v="0"/>
    <x v="1"/>
    <x v="4"/>
    <x v="194"/>
    <x v="3"/>
  </r>
  <r>
    <s v="Delhi Capitals"/>
    <s v="Sunrisers Hyderabad"/>
    <x v="11"/>
    <n v="2019"/>
    <d v="2019-04-14T00:00:00"/>
    <s v="Sunrisers Hyderabad"/>
    <x v="0"/>
    <x v="0"/>
    <x v="15"/>
    <x v="221"/>
    <x v="38"/>
  </r>
  <r>
    <s v="Kolkata Knight Riders"/>
    <s v="Chennai Super Kings"/>
    <x v="11"/>
    <n v="2019"/>
    <d v="2019-04-14T00:00:00"/>
    <s v="Chennai Super Kings"/>
    <x v="0"/>
    <x v="1"/>
    <x v="1"/>
    <x v="222"/>
    <x v="4"/>
  </r>
  <r>
    <s v="Royal Challengers Bangalore"/>
    <s v="Mumbai Indians"/>
    <x v="11"/>
    <n v="2019"/>
    <d v="2019-04-15T00:00:00"/>
    <s v="Mumbai Indians"/>
    <x v="0"/>
    <x v="1"/>
    <x v="7"/>
    <x v="80"/>
    <x v="3"/>
  </r>
  <r>
    <s v="Kings XI Punjab"/>
    <s v="Rajasthan Royals"/>
    <x v="11"/>
    <n v="2019"/>
    <d v="2019-04-16T00:00:00"/>
    <s v="Rajasthan Royals"/>
    <x v="0"/>
    <x v="0"/>
    <x v="5"/>
    <x v="90"/>
    <x v="37"/>
  </r>
  <r>
    <s v="Chennai Super Kings"/>
    <s v="Sunrisers Hyderabad"/>
    <x v="11"/>
    <n v="2019"/>
    <d v="2019-04-17T00:00:00"/>
    <s v="Chennai Super Kings"/>
    <x v="1"/>
    <x v="0"/>
    <x v="11"/>
    <x v="79"/>
    <x v="38"/>
  </r>
  <r>
    <s v="Mumbai Indians"/>
    <s v="Delhi Capitals"/>
    <x v="11"/>
    <n v="2019"/>
    <d v="2019-04-18T00:00:00"/>
    <s v="Mumbai Indians"/>
    <x v="1"/>
    <x v="1"/>
    <x v="7"/>
    <x v="172"/>
    <x v="40"/>
  </r>
  <r>
    <s v="Royal Challengers Bangalore"/>
    <s v="Kolkata Knight Riders"/>
    <x v="11"/>
    <n v="2019"/>
    <d v="2019-04-19T00:00:00"/>
    <s v="Kolkata Knight Riders"/>
    <x v="0"/>
    <x v="0"/>
    <x v="3"/>
    <x v="104"/>
    <x v="4"/>
  </r>
  <r>
    <s v="Kings XI Punjab"/>
    <s v="Delhi Capitals"/>
    <x v="11"/>
    <n v="2019"/>
    <d v="2019-04-20T00:00:00"/>
    <s v="Delhi Capitals"/>
    <x v="0"/>
    <x v="1"/>
    <x v="15"/>
    <x v="166"/>
    <x v="40"/>
  </r>
  <r>
    <s v="Mumbai Indians"/>
    <s v="Rajasthan Royals"/>
    <x v="11"/>
    <n v="2019"/>
    <d v="2019-04-20T00:00:00"/>
    <s v="Rajasthan Royals"/>
    <x v="0"/>
    <x v="1"/>
    <x v="4"/>
    <x v="118"/>
    <x v="5"/>
  </r>
  <r>
    <s v="Kolkata Knight Riders"/>
    <s v="Sunrisers Hyderabad"/>
    <x v="11"/>
    <n v="2019"/>
    <d v="2019-04-21T00:00:00"/>
    <s v="Sunrisers Hyderabad"/>
    <x v="0"/>
    <x v="1"/>
    <x v="11"/>
    <x v="223"/>
    <x v="38"/>
  </r>
  <r>
    <s v="Royal Challengers Bangalore"/>
    <s v="Chennai Super Kings"/>
    <x v="11"/>
    <n v="2019"/>
    <d v="2019-04-21T00:00:00"/>
    <s v="Chennai Super Kings"/>
    <x v="0"/>
    <x v="0"/>
    <x v="3"/>
    <x v="148"/>
    <x v="36"/>
  </r>
  <r>
    <s v="Rajasthan Royals"/>
    <s v="Delhi Capitals"/>
    <x v="11"/>
    <n v="2019"/>
    <d v="2019-04-22T00:00:00"/>
    <s v="Delhi Capitals"/>
    <x v="0"/>
    <x v="1"/>
    <x v="15"/>
    <x v="182"/>
    <x v="5"/>
  </r>
  <r>
    <s v="Sunrisers Hyderabad"/>
    <s v="Chennai Super Kings"/>
    <x v="11"/>
    <n v="2019"/>
    <d v="2019-04-23T00:00:00"/>
    <s v="Chennai Super Kings"/>
    <x v="0"/>
    <x v="1"/>
    <x v="1"/>
    <x v="5"/>
    <x v="39"/>
  </r>
  <r>
    <s v="Royal Challengers Bangalore"/>
    <s v="Kings XI Punjab"/>
    <x v="11"/>
    <n v="2019"/>
    <d v="2019-04-24T00:00:00"/>
    <s v="Kings XI Punjab"/>
    <x v="0"/>
    <x v="0"/>
    <x v="3"/>
    <x v="46"/>
    <x v="36"/>
  </r>
  <r>
    <s v="Kolkata Knight Riders"/>
    <s v="Rajasthan Royals"/>
    <x v="11"/>
    <n v="2019"/>
    <d v="2019-04-25T00:00:00"/>
    <s v="Rajasthan Royals"/>
    <x v="0"/>
    <x v="1"/>
    <x v="4"/>
    <x v="168"/>
    <x v="4"/>
  </r>
  <r>
    <s v="Mumbai Indians"/>
    <s v="Chennai Super Kings"/>
    <x v="11"/>
    <n v="2019"/>
    <d v="2019-04-26T00:00:00"/>
    <s v="Chennai Super Kings"/>
    <x v="0"/>
    <x v="0"/>
    <x v="7"/>
    <x v="57"/>
    <x v="39"/>
  </r>
  <r>
    <s v="Sunrisers Hyderabad"/>
    <s v="Rajasthan Royals"/>
    <x v="11"/>
    <n v="2019"/>
    <d v="2019-04-27T00:00:00"/>
    <s v="Rajasthan Royals"/>
    <x v="0"/>
    <x v="1"/>
    <x v="4"/>
    <x v="93"/>
    <x v="5"/>
  </r>
  <r>
    <s v="Delhi Capitals"/>
    <s v="Royal Challengers Bangalore"/>
    <x v="11"/>
    <n v="2019"/>
    <d v="2019-04-28T00:00:00"/>
    <s v="Delhi Capitals"/>
    <x v="1"/>
    <x v="1"/>
    <x v="15"/>
    <x v="114"/>
    <x v="40"/>
  </r>
  <r>
    <s v="Kolkata Knight Riders"/>
    <s v="Mumbai Indians"/>
    <x v="11"/>
    <n v="2019"/>
    <d v="2019-04-28T00:00:00"/>
    <s v="Mumbai Indians"/>
    <x v="0"/>
    <x v="0"/>
    <x v="0"/>
    <x v="165"/>
    <x v="4"/>
  </r>
  <r>
    <s v="Sunrisers Hyderabad"/>
    <s v="Kings XI Punjab"/>
    <x v="11"/>
    <n v="2019"/>
    <d v="2019-04-29T00:00:00"/>
    <s v="Kings XI Punjab"/>
    <x v="0"/>
    <x v="0"/>
    <x v="11"/>
    <x v="79"/>
    <x v="38"/>
  </r>
  <r>
    <s v="Royal Challengers Bangalore"/>
    <s v="Rajasthan Royals"/>
    <x v="11"/>
    <n v="2019"/>
    <d v="2019-04-30T00:00:00"/>
    <s v="Rajasthan Royals"/>
    <x v="0"/>
    <x v="0"/>
    <x v="8"/>
    <x v="115"/>
    <x v="36"/>
  </r>
  <r>
    <s v="Chennai Super Kings"/>
    <s v="Delhi Capitals"/>
    <x v="11"/>
    <n v="2019"/>
    <d v="2019-05-01T00:00:00"/>
    <s v="Delhi Capitals"/>
    <x v="0"/>
    <x v="0"/>
    <x v="1"/>
    <x v="13"/>
    <x v="39"/>
  </r>
  <r>
    <s v="Mumbai Indians"/>
    <s v="Sunrisers Hyderabad"/>
    <x v="11"/>
    <n v="2019"/>
    <d v="2019-05-02T00:00:00"/>
    <s v="Mumbai Indians"/>
    <x v="1"/>
    <x v="0"/>
    <x v="8"/>
    <x v="190"/>
    <x v="3"/>
  </r>
  <r>
    <s v="Kings XI Punjab"/>
    <s v="Kolkata Knight Riders"/>
    <x v="11"/>
    <n v="2019"/>
    <d v="2019-05-03T00:00:00"/>
    <s v="Kolkata Knight Riders"/>
    <x v="0"/>
    <x v="1"/>
    <x v="0"/>
    <x v="224"/>
    <x v="37"/>
  </r>
  <r>
    <s v="Rajasthan Royals"/>
    <s v="Delhi Capitals"/>
    <x v="11"/>
    <n v="2019"/>
    <d v="2019-05-04T00:00:00"/>
    <s v="Rajasthan Royals"/>
    <x v="1"/>
    <x v="0"/>
    <x v="15"/>
    <x v="27"/>
    <x v="40"/>
  </r>
  <r>
    <s v="Sunrisers Hyderabad"/>
    <s v="Royal Challengers Bangalore"/>
    <x v="11"/>
    <n v="2019"/>
    <d v="2019-05-04T00:00:00"/>
    <s v="Royal Challengers Bangalore"/>
    <x v="0"/>
    <x v="1"/>
    <x v="3"/>
    <x v="225"/>
    <x v="36"/>
  </r>
  <r>
    <s v="Kolkata Knight Riders"/>
    <s v="Mumbai Indians"/>
    <x v="11"/>
    <n v="2019"/>
    <d v="2019-05-05T00:00:00"/>
    <s v="Mumbai Indians"/>
    <x v="0"/>
    <x v="1"/>
    <x v="7"/>
    <x v="172"/>
    <x v="3"/>
  </r>
  <r>
    <s v="Chennai Super Kings"/>
    <s v="Kings XI Punjab"/>
    <x v="11"/>
    <n v="2019"/>
    <d v="2019-05-05T00:00:00"/>
    <s v="Kings XI Punjab"/>
    <x v="0"/>
    <x v="1"/>
    <x v="5"/>
    <x v="202"/>
    <x v="37"/>
  </r>
  <r>
    <s v="Chennai Super Kings"/>
    <s v="Mumbai Indians"/>
    <x v="11"/>
    <n v="2019"/>
    <d v="2019-05-07T00:00:00"/>
    <s v="Chennai Super Kings"/>
    <x v="1"/>
    <x v="0"/>
    <x v="7"/>
    <x v="178"/>
    <x v="39"/>
  </r>
  <r>
    <s v="Sunrisers Hyderabad"/>
    <s v="Delhi Capitals"/>
    <x v="11"/>
    <n v="2019"/>
    <d v="2019-05-08T00:00:00"/>
    <s v="Delhi Capitals"/>
    <x v="0"/>
    <x v="1"/>
    <x v="15"/>
    <x v="182"/>
    <x v="25"/>
  </r>
  <r>
    <s v="Delhi Capitals"/>
    <s v="Chennai Super Kings"/>
    <x v="11"/>
    <n v="2019"/>
    <d v="2019-05-10T00:00:00"/>
    <s v="Chennai Super Kings"/>
    <x v="0"/>
    <x v="1"/>
    <x v="1"/>
    <x v="123"/>
    <x v="25"/>
  </r>
  <r>
    <s v="Mumbai Indians"/>
    <s v="Chennai Super Kings"/>
    <x v="11"/>
    <n v="2019"/>
    <d v="2019-05-12T00:00:00"/>
    <s v="Mumbai Indians"/>
    <x v="1"/>
    <x v="1"/>
    <x v="7"/>
    <x v="190"/>
    <x v="38"/>
  </r>
  <r>
    <s v="Mumbai Indians"/>
    <s v="Chennai Super Kings"/>
    <x v="12"/>
    <n v="2020"/>
    <d v="2020-09-19T00:00:00"/>
    <s v="Chennai Super Kings"/>
    <x v="0"/>
    <x v="1"/>
    <x v="1"/>
    <x v="83"/>
    <x v="30"/>
  </r>
  <r>
    <s v="Delhi Capitals"/>
    <s v="Kings XI Punjab"/>
    <x v="12"/>
    <n v="2020"/>
    <d v="2020-09-20T00:00:00"/>
    <s v="Kings XI Punjab"/>
    <x v="0"/>
    <x v="0"/>
    <x v="8"/>
    <x v="183"/>
    <x v="32"/>
  </r>
  <r>
    <s v="Royal Challengers Bangalore"/>
    <s v="Sunrisers Hyderabad"/>
    <x v="12"/>
    <n v="2020"/>
    <d v="2020-09-21T00:00:00"/>
    <s v="Sunrisers Hyderabad"/>
    <x v="0"/>
    <x v="0"/>
    <x v="3"/>
    <x v="151"/>
    <x v="32"/>
  </r>
  <r>
    <s v="Rajasthan Royals"/>
    <s v="Chennai Super Kings"/>
    <x v="12"/>
    <n v="2020"/>
    <d v="2020-09-22T00:00:00"/>
    <s v="Chennai Super Kings"/>
    <x v="0"/>
    <x v="0"/>
    <x v="4"/>
    <x v="144"/>
    <x v="31"/>
  </r>
  <r>
    <s v="Mumbai Indians"/>
    <s v="Kolkata Knight Riders"/>
    <x v="12"/>
    <n v="2020"/>
    <d v="2020-09-23T00:00:00"/>
    <s v="Kolkata Knight Riders"/>
    <x v="0"/>
    <x v="0"/>
    <x v="7"/>
    <x v="57"/>
    <x v="30"/>
  </r>
  <r>
    <s v="Kings XI Punjab"/>
    <s v="Royal Challengers Bangalore"/>
    <x v="12"/>
    <n v="2020"/>
    <d v="2020-09-24T00:00:00"/>
    <s v="Royal Challengers Bangalore"/>
    <x v="0"/>
    <x v="0"/>
    <x v="5"/>
    <x v="202"/>
    <x v="32"/>
  </r>
  <r>
    <s v="Delhi Capitals"/>
    <s v="Chennai Super Kings"/>
    <x v="12"/>
    <n v="2020"/>
    <d v="2020-09-25T00:00:00"/>
    <s v="Chennai Super Kings"/>
    <x v="0"/>
    <x v="0"/>
    <x v="15"/>
    <x v="214"/>
    <x v="32"/>
  </r>
  <r>
    <s v="Sunrisers Hyderabad"/>
    <s v="Kolkata Knight Riders"/>
    <x v="12"/>
    <n v="2020"/>
    <d v="2020-09-26T00:00:00"/>
    <s v="Sunrisers Hyderabad"/>
    <x v="1"/>
    <x v="0"/>
    <x v="0"/>
    <x v="224"/>
    <x v="30"/>
  </r>
  <r>
    <s v="Kings XI Punjab"/>
    <s v="Rajasthan Royals"/>
    <x v="12"/>
    <n v="2020"/>
    <d v="2020-09-27T00:00:00"/>
    <s v="Rajasthan Royals"/>
    <x v="0"/>
    <x v="1"/>
    <x v="4"/>
    <x v="144"/>
    <x v="31"/>
  </r>
  <r>
    <s v="Royal Challengers Bangalore"/>
    <s v="Mumbai Indians"/>
    <x v="12"/>
    <n v="2020"/>
    <d v="2020-09-28T00:00:00"/>
    <s v="Mumbai Indians"/>
    <x v="0"/>
    <x v="0"/>
    <x v="8"/>
    <x v="46"/>
    <x v="32"/>
  </r>
  <r>
    <s v="Sunrisers Hyderabad"/>
    <s v="Delhi Capitals"/>
    <x v="12"/>
    <n v="2020"/>
    <d v="2020-09-29T00:00:00"/>
    <s v="Delhi Capitals"/>
    <x v="0"/>
    <x v="0"/>
    <x v="11"/>
    <x v="188"/>
    <x v="30"/>
  </r>
  <r>
    <s v="Kolkata Knight Riders"/>
    <s v="Rajasthan Royals"/>
    <x v="12"/>
    <n v="2020"/>
    <d v="2020-09-30T00:00:00"/>
    <s v="Rajasthan Royals"/>
    <x v="0"/>
    <x v="0"/>
    <x v="0"/>
    <x v="226"/>
    <x v="32"/>
  </r>
  <r>
    <s v="Mumbai Indians"/>
    <s v="Kings XI Punjab"/>
    <x v="12"/>
    <n v="2020"/>
    <d v="2020-10-01T00:00:00"/>
    <s v="Kings XI Punjab"/>
    <x v="0"/>
    <x v="0"/>
    <x v="7"/>
    <x v="91"/>
    <x v="30"/>
  </r>
  <r>
    <s v="Sunrisers Hyderabad"/>
    <s v="Chennai Super Kings"/>
    <x v="12"/>
    <n v="2020"/>
    <d v="2020-10-02T00:00:00"/>
    <s v="Sunrisers Hyderabad"/>
    <x v="1"/>
    <x v="1"/>
    <x v="11"/>
    <x v="227"/>
    <x v="32"/>
  </r>
  <r>
    <s v="Rajasthan Royals"/>
    <s v="Royal Challengers Bangalore"/>
    <x v="12"/>
    <n v="2020"/>
    <d v="2020-10-03T00:00:00"/>
    <s v="Rajasthan Royals"/>
    <x v="1"/>
    <x v="0"/>
    <x v="3"/>
    <x v="151"/>
    <x v="30"/>
  </r>
  <r>
    <s v="Delhi Capitals"/>
    <s v="Kolkata Knight Riders"/>
    <x v="12"/>
    <n v="2020"/>
    <d v="2020-10-03T00:00:00"/>
    <s v="Kolkata Knight Riders"/>
    <x v="0"/>
    <x v="0"/>
    <x v="15"/>
    <x v="166"/>
    <x v="31"/>
  </r>
  <r>
    <s v="Mumbai Indians"/>
    <s v="Sunrisers Hyderabad"/>
    <x v="12"/>
    <n v="2020"/>
    <d v="2020-10-04T00:00:00"/>
    <s v="Mumbai Indians"/>
    <x v="1"/>
    <x v="1"/>
    <x v="7"/>
    <x v="169"/>
    <x v="31"/>
  </r>
  <r>
    <s v="Kings XI Punjab"/>
    <s v="Chennai Super Kings"/>
    <x v="12"/>
    <n v="2020"/>
    <d v="2020-10-04T00:00:00"/>
    <s v="Kings XI Punjab"/>
    <x v="1"/>
    <x v="0"/>
    <x v="1"/>
    <x v="5"/>
    <x v="32"/>
  </r>
  <r>
    <s v="Delhi Capitals"/>
    <s v="Royal Challengers Bangalore"/>
    <x v="12"/>
    <n v="2020"/>
    <d v="2020-10-05T00:00:00"/>
    <s v="Royal Challengers Bangalore"/>
    <x v="0"/>
    <x v="0"/>
    <x v="15"/>
    <x v="160"/>
    <x v="32"/>
  </r>
  <r>
    <s v="Mumbai Indians"/>
    <s v="Rajasthan Royals"/>
    <x v="12"/>
    <n v="2020"/>
    <d v="2020-10-06T00:00:00"/>
    <s v="Mumbai Indians"/>
    <x v="1"/>
    <x v="1"/>
    <x v="7"/>
    <x v="178"/>
    <x v="30"/>
  </r>
  <r>
    <s v="Kolkata Knight Riders"/>
    <s v="Chennai Super Kings"/>
    <x v="12"/>
    <n v="2020"/>
    <d v="2020-10-07T00:00:00"/>
    <s v="Kolkata Knight Riders"/>
    <x v="1"/>
    <x v="1"/>
    <x v="0"/>
    <x v="197"/>
    <x v="30"/>
  </r>
  <r>
    <s v="Sunrisers Hyderabad"/>
    <s v="Kings XI Punjab"/>
    <x v="12"/>
    <n v="2020"/>
    <d v="2020-10-08T00:00:00"/>
    <s v="Sunrisers Hyderabad"/>
    <x v="1"/>
    <x v="1"/>
    <x v="11"/>
    <x v="215"/>
    <x v="32"/>
  </r>
  <r>
    <s v="Delhi Capitals"/>
    <s v="Rajasthan Royals"/>
    <x v="12"/>
    <n v="2020"/>
    <d v="2020-10-09T00:00:00"/>
    <s v="Rajasthan Royals"/>
    <x v="0"/>
    <x v="0"/>
    <x v="15"/>
    <x v="90"/>
    <x v="31"/>
  </r>
  <r>
    <s v="Kolkata Knight Riders"/>
    <s v="Kings XI Punjab"/>
    <x v="12"/>
    <n v="2020"/>
    <d v="2020-10-10T00:00:00"/>
    <s v="Kolkata Knight Riders"/>
    <x v="1"/>
    <x v="1"/>
    <x v="0"/>
    <x v="35"/>
    <x v="30"/>
  </r>
  <r>
    <s v="Royal Challengers Bangalore"/>
    <s v="Chennai Super Kings"/>
    <x v="12"/>
    <n v="2020"/>
    <d v="2020-10-10T00:00:00"/>
    <s v="Royal Challengers Bangalore"/>
    <x v="1"/>
    <x v="1"/>
    <x v="3"/>
    <x v="104"/>
    <x v="32"/>
  </r>
  <r>
    <s v="Sunrisers Hyderabad"/>
    <s v="Rajasthan Royals"/>
    <x v="12"/>
    <n v="2020"/>
    <d v="2020-10-11T00:00:00"/>
    <s v="Sunrisers Hyderabad"/>
    <x v="1"/>
    <x v="0"/>
    <x v="4"/>
    <x v="228"/>
    <x v="32"/>
  </r>
  <r>
    <s v="Delhi Capitals"/>
    <s v="Mumbai Indians"/>
    <x v="12"/>
    <n v="2020"/>
    <d v="2020-10-11T00:00:00"/>
    <s v="Delhi Capitals"/>
    <x v="1"/>
    <x v="0"/>
    <x v="7"/>
    <x v="176"/>
    <x v="30"/>
  </r>
  <r>
    <s v="Royal Challengers Bangalore"/>
    <s v="Kolkata Knight Riders"/>
    <x v="12"/>
    <n v="2020"/>
    <d v="2020-10-12T00:00:00"/>
    <s v="Royal Challengers Bangalore"/>
    <x v="1"/>
    <x v="1"/>
    <x v="3"/>
    <x v="46"/>
    <x v="31"/>
  </r>
  <r>
    <s v="Chennai Super Kings"/>
    <s v="Sunrisers Hyderabad"/>
    <x v="12"/>
    <n v="2020"/>
    <d v="2020-10-13T00:00:00"/>
    <s v="Chennai Super Kings"/>
    <x v="1"/>
    <x v="1"/>
    <x v="1"/>
    <x v="120"/>
    <x v="32"/>
  </r>
  <r>
    <s v="Delhi Capitals"/>
    <s v="Rajasthan Royals"/>
    <x v="12"/>
    <n v="2020"/>
    <d v="2020-10-14T00:00:00"/>
    <s v="Delhi Capitals"/>
    <x v="1"/>
    <x v="1"/>
    <x v="15"/>
    <x v="229"/>
    <x v="32"/>
  </r>
  <r>
    <s v="Royal Challengers Bangalore"/>
    <s v="Kings XI Punjab"/>
    <x v="12"/>
    <n v="2020"/>
    <d v="2020-10-15T00:00:00"/>
    <s v="Royal Challengers Bangalore"/>
    <x v="1"/>
    <x v="0"/>
    <x v="5"/>
    <x v="202"/>
    <x v="31"/>
  </r>
  <r>
    <s v="Kolkata Knight Riders"/>
    <s v="Mumbai Indians"/>
    <x v="12"/>
    <n v="2020"/>
    <d v="2020-10-16T00:00:00"/>
    <s v="Kolkata Knight Riders"/>
    <x v="1"/>
    <x v="0"/>
    <x v="7"/>
    <x v="176"/>
    <x v="30"/>
  </r>
  <r>
    <s v="Chennai Super Kings"/>
    <s v="Delhi Capitals"/>
    <x v="12"/>
    <n v="2020"/>
    <d v="2020-10-17T00:00:00"/>
    <s v="Chennai Super Kings"/>
    <x v="1"/>
    <x v="0"/>
    <x v="15"/>
    <x v="114"/>
    <x v="31"/>
  </r>
  <r>
    <s v="Rajasthan Royals"/>
    <s v="Royal Challengers Bangalore"/>
    <x v="12"/>
    <n v="2020"/>
    <d v="2020-10-17T00:00:00"/>
    <s v="Rajasthan Royals"/>
    <x v="1"/>
    <x v="0"/>
    <x v="3"/>
    <x v="46"/>
    <x v="32"/>
  </r>
  <r>
    <s v="Kolkata Knight Riders"/>
    <s v="Sunrisers Hyderabad"/>
    <x v="12"/>
    <n v="2020"/>
    <d v="2020-10-18T00:00:00"/>
    <s v="Sunrisers Hyderabad"/>
    <x v="0"/>
    <x v="0"/>
    <x v="8"/>
    <x v="195"/>
    <x v="30"/>
  </r>
  <r>
    <s v="Mumbai Indians"/>
    <s v="Kings XI Punjab"/>
    <x v="12"/>
    <n v="2020"/>
    <d v="2020-10-18T00:00:00"/>
    <s v="Mumbai Indians"/>
    <x v="1"/>
    <x v="0"/>
    <x v="8"/>
    <x v="202"/>
    <x v="32"/>
  </r>
  <r>
    <s v="Chennai Super Kings"/>
    <s v="Rajasthan Royals"/>
    <x v="12"/>
    <n v="2020"/>
    <d v="2020-10-19T00:00:00"/>
    <s v="Chennai Super Kings"/>
    <x v="1"/>
    <x v="0"/>
    <x v="4"/>
    <x v="194"/>
    <x v="30"/>
  </r>
  <r>
    <s v="Delhi Capitals"/>
    <s v="Kings XI Punjab"/>
    <x v="12"/>
    <n v="2020"/>
    <d v="2020-10-20T00:00:00"/>
    <s v="Delhi Capitals"/>
    <x v="1"/>
    <x v="0"/>
    <x v="5"/>
    <x v="114"/>
    <x v="32"/>
  </r>
  <r>
    <s v="Kolkata Knight Riders"/>
    <s v="Royal Challengers Bangalore"/>
    <x v="12"/>
    <n v="2020"/>
    <d v="2020-10-21T00:00:00"/>
    <s v="Kolkata Knight Riders"/>
    <x v="1"/>
    <x v="0"/>
    <x v="3"/>
    <x v="198"/>
    <x v="30"/>
  </r>
  <r>
    <s v="Rajasthan Royals"/>
    <s v="Sunrisers Hyderabad"/>
    <x v="12"/>
    <n v="2020"/>
    <d v="2020-10-22T00:00:00"/>
    <s v="Sunrisers Hyderabad"/>
    <x v="0"/>
    <x v="1"/>
    <x v="11"/>
    <x v="68"/>
    <x v="32"/>
  </r>
  <r>
    <s v="Chennai Super Kings"/>
    <s v="Mumbai Indians"/>
    <x v="12"/>
    <n v="2020"/>
    <d v="2020-10-23T00:00:00"/>
    <s v="Mumbai Indians"/>
    <x v="0"/>
    <x v="1"/>
    <x v="7"/>
    <x v="169"/>
    <x v="31"/>
  </r>
  <r>
    <s v="Kolkata Knight Riders"/>
    <s v="Delhi Capitals"/>
    <x v="12"/>
    <n v="2020"/>
    <d v="2020-10-24T00:00:00"/>
    <s v="Delhi Capitals"/>
    <x v="0"/>
    <x v="0"/>
    <x v="0"/>
    <x v="230"/>
    <x v="30"/>
  </r>
  <r>
    <s v="Kings XI Punjab"/>
    <s v="Sunrisers Hyderabad"/>
    <x v="12"/>
    <n v="2020"/>
    <d v="2020-10-24T00:00:00"/>
    <s v="Sunrisers Hyderabad"/>
    <x v="0"/>
    <x v="0"/>
    <x v="5"/>
    <x v="231"/>
    <x v="32"/>
  </r>
  <r>
    <s v="Mumbai Indians"/>
    <s v="Rajasthan Royals"/>
    <x v="12"/>
    <n v="2020"/>
    <d v="2020-10-25T00:00:00"/>
    <s v="Mumbai Indians"/>
    <x v="1"/>
    <x v="0"/>
    <x v="4"/>
    <x v="192"/>
    <x v="30"/>
  </r>
  <r>
    <s v="Royal Challengers Bangalore"/>
    <s v="Chennai Super Kings"/>
    <x v="12"/>
    <n v="2020"/>
    <d v="2020-10-25T00:00:00"/>
    <s v="Royal Challengers Bangalore"/>
    <x v="1"/>
    <x v="0"/>
    <x v="1"/>
    <x v="232"/>
    <x v="32"/>
  </r>
  <r>
    <s v="Kolkata Knight Riders"/>
    <s v="Kings XI Punjab"/>
    <x v="12"/>
    <n v="2020"/>
    <d v="2020-10-26T00:00:00"/>
    <s v="Kings XI Punjab"/>
    <x v="0"/>
    <x v="1"/>
    <x v="5"/>
    <x v="45"/>
    <x v="31"/>
  </r>
  <r>
    <s v="Sunrisers Hyderabad"/>
    <s v="Delhi Capitals"/>
    <x v="12"/>
    <n v="2020"/>
    <d v="2020-10-27T00:00:00"/>
    <s v="Delhi Capitals"/>
    <x v="0"/>
    <x v="0"/>
    <x v="11"/>
    <x v="113"/>
    <x v="32"/>
  </r>
  <r>
    <s v="Royal Challengers Bangalore"/>
    <s v="Mumbai Indians"/>
    <x v="12"/>
    <n v="2020"/>
    <d v="2020-10-28T00:00:00"/>
    <s v="Mumbai Indians"/>
    <x v="0"/>
    <x v="1"/>
    <x v="7"/>
    <x v="178"/>
    <x v="30"/>
  </r>
  <r>
    <s v="Kolkata Knight Riders"/>
    <s v="Chennai Super Kings"/>
    <x v="12"/>
    <n v="2020"/>
    <d v="2020-10-29T00:00:00"/>
    <s v="Chennai Super Kings"/>
    <x v="0"/>
    <x v="1"/>
    <x v="1"/>
    <x v="232"/>
    <x v="32"/>
  </r>
  <r>
    <s v="Kings XI Punjab"/>
    <s v="Rajasthan Royals"/>
    <x v="12"/>
    <n v="2020"/>
    <d v="2020-10-30T00:00:00"/>
    <s v="Rajasthan Royals"/>
    <x v="0"/>
    <x v="1"/>
    <x v="4"/>
    <x v="192"/>
    <x v="30"/>
  </r>
  <r>
    <s v="Delhi Capitals"/>
    <s v="Mumbai Indians"/>
    <x v="12"/>
    <n v="2020"/>
    <d v="2020-10-31T00:00:00"/>
    <s v="Mumbai Indians"/>
    <x v="0"/>
    <x v="1"/>
    <x v="7"/>
    <x v="210"/>
    <x v="32"/>
  </r>
  <r>
    <s v="Royal Challengers Bangalore"/>
    <s v="Sunrisers Hyderabad"/>
    <x v="12"/>
    <n v="2020"/>
    <d v="2020-10-31T00:00:00"/>
    <s v="Sunrisers Hyderabad"/>
    <x v="0"/>
    <x v="1"/>
    <x v="11"/>
    <x v="156"/>
    <x v="31"/>
  </r>
  <r>
    <s v="Kolkata Knight Riders"/>
    <s v="Rajasthan Royals"/>
    <x v="12"/>
    <n v="2020"/>
    <d v="2020-11-01T00:00:00"/>
    <s v="Rajasthan Royals"/>
    <x v="0"/>
    <x v="0"/>
    <x v="0"/>
    <x v="233"/>
    <x v="32"/>
  </r>
  <r>
    <s v="Kings XI Punjab"/>
    <s v="Chennai Super Kings"/>
    <x v="12"/>
    <n v="2020"/>
    <d v="2020-11-01T00:00:00"/>
    <s v="Chennai Super Kings"/>
    <x v="0"/>
    <x v="1"/>
    <x v="1"/>
    <x v="232"/>
    <x v="30"/>
  </r>
  <r>
    <s v="Royal Challengers Bangalore"/>
    <s v="Delhi Capitals"/>
    <x v="12"/>
    <n v="2020"/>
    <d v="2020-11-02T00:00:00"/>
    <s v="Delhi Capitals"/>
    <x v="0"/>
    <x v="1"/>
    <x v="15"/>
    <x v="229"/>
    <x v="30"/>
  </r>
  <r>
    <s v="Mumbai Indians"/>
    <s v="Sunrisers Hyderabad"/>
    <x v="12"/>
    <n v="2020"/>
    <d v="2020-11-03T00:00:00"/>
    <s v="Sunrisers Hyderabad"/>
    <x v="0"/>
    <x v="1"/>
    <x v="11"/>
    <x v="128"/>
    <x v="31"/>
  </r>
  <r>
    <s v="Mumbai Indians"/>
    <s v="Delhi Capitals"/>
    <x v="12"/>
    <n v="2020"/>
    <d v="2020-11-05T00:00:00"/>
    <s v="Delhi Capitals"/>
    <x v="0"/>
    <x v="0"/>
    <x v="7"/>
    <x v="190"/>
    <x v="32"/>
  </r>
  <r>
    <s v="Royal Challengers Bangalore"/>
    <s v="Sunrisers Hyderabad"/>
    <x v="12"/>
    <n v="2020"/>
    <d v="2020-11-06T00:00:00"/>
    <s v="Sunrisers Hyderabad"/>
    <x v="0"/>
    <x v="1"/>
    <x v="11"/>
    <x v="193"/>
    <x v="30"/>
  </r>
  <r>
    <s v="Delhi Capitals"/>
    <s v="Sunrisers Hyderabad"/>
    <x v="12"/>
    <n v="2020"/>
    <d v="2020-11-08T00:00:00"/>
    <s v="Delhi Capitals"/>
    <x v="1"/>
    <x v="1"/>
    <x v="15"/>
    <x v="183"/>
    <x v="30"/>
  </r>
  <r>
    <s v="Delhi Capitals"/>
    <s v="Mumbai Indians"/>
    <x v="12"/>
    <n v="2020"/>
    <d v="2020-11-10T00:00:00"/>
    <s v="Delhi Capitals"/>
    <x v="1"/>
    <x v="0"/>
    <x v="7"/>
    <x v="169"/>
    <x v="32"/>
  </r>
  <r>
    <s v="Mumbai Indians"/>
    <s v="Royal Challengers Bangalore"/>
    <x v="13"/>
    <n v="2021"/>
    <d v="2021-04-09T00:00:00"/>
    <s v="Royal Challengers Bangalore"/>
    <x v="0"/>
    <x v="1"/>
    <x v="3"/>
    <x v="199"/>
    <x v="41"/>
  </r>
  <r>
    <s v="Chennai Super Kings"/>
    <s v="Delhi Capitals"/>
    <x v="13"/>
    <n v="2021"/>
    <d v="2021-04-10T00:00:00"/>
    <s v="Delhi Capitals"/>
    <x v="0"/>
    <x v="1"/>
    <x v="15"/>
    <x v="114"/>
    <x v="42"/>
  </r>
  <r>
    <s v="Kolkata Knight Riders"/>
    <s v="Sunrisers Hyderabad"/>
    <x v="13"/>
    <n v="2021"/>
    <d v="2021-04-11T00:00:00"/>
    <s v="Sunrisers Hyderabad"/>
    <x v="0"/>
    <x v="0"/>
    <x v="0"/>
    <x v="189"/>
    <x v="41"/>
  </r>
  <r>
    <s v="Punjab Kings"/>
    <s v="Rajasthan Royals"/>
    <x v="13"/>
    <n v="2021"/>
    <d v="2021-04-12T00:00:00"/>
    <s v="Rajasthan Royals"/>
    <x v="0"/>
    <x v="0"/>
    <x v="16"/>
    <x v="144"/>
    <x v="42"/>
  </r>
  <r>
    <s v="Mumbai Indians"/>
    <s v="Kolkata Knight Riders"/>
    <x v="13"/>
    <n v="2021"/>
    <d v="2021-04-13T00:00:00"/>
    <s v="Kolkata Knight Riders"/>
    <x v="0"/>
    <x v="0"/>
    <x v="7"/>
    <x v="234"/>
    <x v="41"/>
  </r>
  <r>
    <s v="Royal Challengers Bangalore"/>
    <s v="Sunrisers Hyderabad"/>
    <x v="13"/>
    <n v="2021"/>
    <d v="2021-04-14T00:00:00"/>
    <s v="Sunrisers Hyderabad"/>
    <x v="0"/>
    <x v="0"/>
    <x v="3"/>
    <x v="152"/>
    <x v="41"/>
  </r>
  <r>
    <s v="Delhi Capitals"/>
    <s v="Rajasthan Royals"/>
    <x v="13"/>
    <n v="2021"/>
    <d v="2021-04-15T00:00:00"/>
    <s v="Rajasthan Royals"/>
    <x v="0"/>
    <x v="1"/>
    <x v="4"/>
    <x v="93"/>
    <x v="42"/>
  </r>
  <r>
    <s v="Punjab Kings"/>
    <s v="Chennai Super Kings"/>
    <x v="13"/>
    <n v="2021"/>
    <d v="2021-04-16T00:00:00"/>
    <s v="Chennai Super Kings"/>
    <x v="0"/>
    <x v="1"/>
    <x v="1"/>
    <x v="220"/>
    <x v="42"/>
  </r>
  <r>
    <s v="Mumbai Indians"/>
    <s v="Sunrisers Hyderabad"/>
    <x v="13"/>
    <n v="2021"/>
    <d v="2021-04-17T00:00:00"/>
    <s v="Mumbai Indians"/>
    <x v="1"/>
    <x v="1"/>
    <x v="7"/>
    <x v="91"/>
    <x v="41"/>
  </r>
  <r>
    <s v="Punjab Kings"/>
    <s v="Delhi Capitals"/>
    <x v="13"/>
    <n v="2021"/>
    <d v="2021-04-18T00:00:00"/>
    <s v="Delhi Capitals"/>
    <x v="0"/>
    <x v="1"/>
    <x v="15"/>
    <x v="114"/>
    <x v="42"/>
  </r>
  <r>
    <s v="Royal Challengers Bangalore"/>
    <s v="Kolkata Knight Riders"/>
    <x v="13"/>
    <n v="2021"/>
    <d v="2021-04-18T00:00:00"/>
    <s v="Royal Challengers Bangalore"/>
    <x v="1"/>
    <x v="1"/>
    <x v="3"/>
    <x v="46"/>
    <x v="41"/>
  </r>
  <r>
    <s v="Chennai Super Kings"/>
    <s v="Rajasthan Royals"/>
    <x v="13"/>
    <n v="2021"/>
    <d v="2021-04-19T00:00:00"/>
    <s v="Rajasthan Royals"/>
    <x v="0"/>
    <x v="0"/>
    <x v="1"/>
    <x v="235"/>
    <x v="42"/>
  </r>
  <r>
    <s v="Mumbai Indians"/>
    <s v="Delhi Capitals"/>
    <x v="13"/>
    <n v="2021"/>
    <d v="2021-04-20T00:00:00"/>
    <s v="Mumbai Indians"/>
    <x v="1"/>
    <x v="0"/>
    <x v="15"/>
    <x v="27"/>
    <x v="41"/>
  </r>
  <r>
    <s v="Punjab Kings"/>
    <s v="Sunrisers Hyderabad"/>
    <x v="13"/>
    <n v="2021"/>
    <d v="2021-04-21T00:00:00"/>
    <s v="Punjab Kings"/>
    <x v="1"/>
    <x v="0"/>
    <x v="11"/>
    <x v="215"/>
    <x v="41"/>
  </r>
  <r>
    <s v="Chennai Super Kings"/>
    <s v="Kolkata Knight Riders"/>
    <x v="13"/>
    <n v="2021"/>
    <d v="2021-04-21T00:00:00"/>
    <s v="Kolkata Knight Riders"/>
    <x v="0"/>
    <x v="0"/>
    <x v="1"/>
    <x v="123"/>
    <x v="42"/>
  </r>
  <r>
    <s v="Rajasthan Royals"/>
    <s v="Royal Challengers Bangalore"/>
    <x v="13"/>
    <n v="2021"/>
    <d v="2021-04-22T00:00:00"/>
    <s v="Royal Challengers Bangalore"/>
    <x v="0"/>
    <x v="1"/>
    <x v="3"/>
    <x v="236"/>
    <x v="42"/>
  </r>
  <r>
    <s v="Mumbai Indians"/>
    <s v="Punjab Kings"/>
    <x v="13"/>
    <n v="2021"/>
    <d v="2021-04-23T00:00:00"/>
    <s v="Punjab Kings"/>
    <x v="0"/>
    <x v="1"/>
    <x v="16"/>
    <x v="202"/>
    <x v="41"/>
  </r>
  <r>
    <s v="Kolkata Knight Riders"/>
    <s v="Rajasthan Royals"/>
    <x v="13"/>
    <n v="2021"/>
    <d v="2021-04-24T00:00:00"/>
    <s v="Rajasthan Royals"/>
    <x v="0"/>
    <x v="1"/>
    <x v="4"/>
    <x v="180"/>
    <x v="42"/>
  </r>
  <r>
    <s v="Chennai Super Kings"/>
    <s v="Royal Challengers Bangalore"/>
    <x v="13"/>
    <n v="2021"/>
    <d v="2021-04-25T00:00:00"/>
    <s v="Chennai Super Kings"/>
    <x v="1"/>
    <x v="1"/>
    <x v="1"/>
    <x v="120"/>
    <x v="42"/>
  </r>
  <r>
    <s v="Delhi Capitals"/>
    <s v="Sunrisers Hyderabad"/>
    <x v="13"/>
    <n v="2021"/>
    <d v="2021-04-25T00:00:00"/>
    <s v="Delhi Capitals"/>
    <x v="1"/>
    <x v="0"/>
    <x v="8"/>
    <x v="214"/>
    <x v="41"/>
  </r>
  <r>
    <s v="Punjab Kings"/>
    <s v="Kolkata Knight Riders"/>
    <x v="13"/>
    <n v="2021"/>
    <d v="2021-04-26T00:00:00"/>
    <s v="Kolkata Knight Riders"/>
    <x v="0"/>
    <x v="1"/>
    <x v="0"/>
    <x v="171"/>
    <x v="43"/>
  </r>
  <r>
    <s v="Royal Challengers Bangalore"/>
    <s v="Delhi Capitals"/>
    <x v="13"/>
    <n v="2021"/>
    <d v="2021-04-27T00:00:00"/>
    <s v="Delhi Capitals"/>
    <x v="0"/>
    <x v="0"/>
    <x v="3"/>
    <x v="46"/>
    <x v="43"/>
  </r>
  <r>
    <s v="Sunrisers Hyderabad"/>
    <s v="Chennai Super Kings"/>
    <x v="13"/>
    <n v="2021"/>
    <d v="2021-04-28T00:00:00"/>
    <s v="Sunrisers Hyderabad"/>
    <x v="1"/>
    <x v="0"/>
    <x v="1"/>
    <x v="232"/>
    <x v="44"/>
  </r>
  <r>
    <s v="Kolkata Knight Riders"/>
    <s v="Delhi Capitals"/>
    <x v="13"/>
    <n v="2021"/>
    <d v="2021-04-29T00:00:00"/>
    <s v="Delhi Capitals"/>
    <x v="0"/>
    <x v="1"/>
    <x v="15"/>
    <x v="214"/>
    <x v="43"/>
  </r>
  <r>
    <s v="Rajasthan Royals"/>
    <s v="Mumbai Indians"/>
    <x v="13"/>
    <n v="2021"/>
    <d v="2021-04-29T00:00:00"/>
    <s v="Mumbai Indians"/>
    <x v="0"/>
    <x v="1"/>
    <x v="7"/>
    <x v="176"/>
    <x v="44"/>
  </r>
  <r>
    <s v="Punjab Kings"/>
    <s v="Royal Challengers Bangalore"/>
    <x v="13"/>
    <n v="2021"/>
    <d v="2021-04-30T00:00:00"/>
    <s v="Royal Challengers Bangalore"/>
    <x v="0"/>
    <x v="0"/>
    <x v="16"/>
    <x v="237"/>
    <x v="43"/>
  </r>
  <r>
    <s v="Chennai Super Kings"/>
    <s v="Mumbai Indians"/>
    <x v="13"/>
    <n v="2021"/>
    <d v="2021-05-01T00:00:00"/>
    <s v="Mumbai Indians"/>
    <x v="0"/>
    <x v="1"/>
    <x v="7"/>
    <x v="91"/>
    <x v="44"/>
  </r>
  <r>
    <s v="Rajasthan Royals"/>
    <s v="Sunrisers Hyderabad"/>
    <x v="13"/>
    <n v="2021"/>
    <d v="2021-05-02T00:00:00"/>
    <s v="Sunrisers Hyderabad"/>
    <x v="0"/>
    <x v="0"/>
    <x v="4"/>
    <x v="194"/>
    <x v="44"/>
  </r>
  <r>
    <s v="Punjab Kings"/>
    <s v="Delhi Capitals"/>
    <x v="13"/>
    <n v="2021"/>
    <d v="2021-05-02T00:00:00"/>
    <s v="Delhi Capitals"/>
    <x v="0"/>
    <x v="1"/>
    <x v="15"/>
    <x v="164"/>
    <x v="43"/>
  </r>
  <r>
    <s v="Chennai Super Kings"/>
    <s v="Mumbai Indians"/>
    <x v="13"/>
    <n v="2021"/>
    <d v="2021-09-19T00:00:00"/>
    <s v="Chennai Super Kings"/>
    <x v="1"/>
    <x v="1"/>
    <x v="1"/>
    <x v="232"/>
    <x v="32"/>
  </r>
  <r>
    <s v="Royal Challengers Bangalore"/>
    <s v="Kolkata Knight Riders"/>
    <x v="13"/>
    <n v="2021"/>
    <d v="2021-09-20T00:00:00"/>
    <s v="Royal Challengers Bangalore"/>
    <x v="1"/>
    <x v="0"/>
    <x v="0"/>
    <x v="230"/>
    <x v="45"/>
  </r>
  <r>
    <s v="Rajasthan Royals"/>
    <s v="Punjab Kings"/>
    <x v="13"/>
    <n v="2021"/>
    <d v="2021-09-21T00:00:00"/>
    <s v="Punjab Kings"/>
    <x v="0"/>
    <x v="0"/>
    <x v="4"/>
    <x v="238"/>
    <x v="32"/>
  </r>
  <r>
    <s v="Sunrisers Hyderabad"/>
    <s v="Delhi Capitals"/>
    <x v="13"/>
    <n v="2021"/>
    <d v="2021-09-22T00:00:00"/>
    <s v="Sunrisers Hyderabad"/>
    <x v="1"/>
    <x v="0"/>
    <x v="15"/>
    <x v="229"/>
    <x v="32"/>
  </r>
  <r>
    <s v="Mumbai Indians"/>
    <s v="Kolkata Knight Riders"/>
    <x v="13"/>
    <n v="2021"/>
    <d v="2021-09-23T00:00:00"/>
    <s v="Kolkata Knight Riders"/>
    <x v="0"/>
    <x v="1"/>
    <x v="0"/>
    <x v="127"/>
    <x v="45"/>
  </r>
  <r>
    <s v="Royal Challengers Bangalore"/>
    <s v="Chennai Super Kings"/>
    <x v="13"/>
    <n v="2021"/>
    <d v="2021-09-24T00:00:00"/>
    <s v="Chennai Super Kings"/>
    <x v="0"/>
    <x v="1"/>
    <x v="1"/>
    <x v="30"/>
    <x v="31"/>
  </r>
  <r>
    <s v="Punjab Kings"/>
    <s v="Sunrisers Hyderabad"/>
    <x v="13"/>
    <n v="2021"/>
    <d v="2021-09-25T00:00:00"/>
    <s v="Sunrisers Hyderabad"/>
    <x v="0"/>
    <x v="0"/>
    <x v="16"/>
    <x v="239"/>
    <x v="31"/>
  </r>
  <r>
    <s v="Delhi Capitals"/>
    <s v="Rajasthan Royals"/>
    <x v="13"/>
    <n v="2021"/>
    <d v="2021-09-25T00:00:00"/>
    <s v="Rajasthan Royals"/>
    <x v="0"/>
    <x v="0"/>
    <x v="15"/>
    <x v="166"/>
    <x v="45"/>
  </r>
  <r>
    <s v="Kolkata Knight Riders"/>
    <s v="Chennai Super Kings"/>
    <x v="13"/>
    <n v="2021"/>
    <d v="2021-09-26T00:00:00"/>
    <s v="Kolkata Knight Riders"/>
    <x v="1"/>
    <x v="0"/>
    <x v="1"/>
    <x v="120"/>
    <x v="45"/>
  </r>
  <r>
    <s v="Royal Challengers Bangalore"/>
    <s v="Mumbai Indians"/>
    <x v="13"/>
    <n v="2021"/>
    <d v="2021-09-26T00:00:00"/>
    <s v="Mumbai Indians"/>
    <x v="0"/>
    <x v="0"/>
    <x v="3"/>
    <x v="152"/>
    <x v="32"/>
  </r>
  <r>
    <s v="Rajasthan Royals"/>
    <s v="Sunrisers Hyderabad"/>
    <x v="13"/>
    <n v="2021"/>
    <d v="2021-09-27T00:00:00"/>
    <s v="Rajasthan Royals"/>
    <x v="1"/>
    <x v="0"/>
    <x v="11"/>
    <x v="204"/>
    <x v="32"/>
  </r>
  <r>
    <s v="Delhi Capitals"/>
    <s v="Kolkata Knight Riders"/>
    <x v="13"/>
    <n v="2021"/>
    <d v="2021-09-28T00:00:00"/>
    <s v="Kolkata Knight Riders"/>
    <x v="0"/>
    <x v="1"/>
    <x v="0"/>
    <x v="127"/>
    <x v="31"/>
  </r>
  <r>
    <s v="Punjab Kings"/>
    <s v="Mumbai Indians"/>
    <x v="13"/>
    <n v="2021"/>
    <d v="2021-09-28T00:00:00"/>
    <s v="Mumbai Indians"/>
    <x v="0"/>
    <x v="1"/>
    <x v="7"/>
    <x v="91"/>
    <x v="45"/>
  </r>
  <r>
    <s v="Rajasthan Royals"/>
    <s v="Royal Challengers Bangalore"/>
    <x v="13"/>
    <n v="2021"/>
    <d v="2021-09-29T00:00:00"/>
    <s v="Royal Challengers Bangalore"/>
    <x v="0"/>
    <x v="1"/>
    <x v="3"/>
    <x v="151"/>
    <x v="32"/>
  </r>
  <r>
    <s v="Sunrisers Hyderabad"/>
    <s v="Chennai Super Kings"/>
    <x v="13"/>
    <n v="2021"/>
    <d v="2021-09-30T00:00:00"/>
    <s v="Chennai Super Kings"/>
    <x v="0"/>
    <x v="1"/>
    <x v="1"/>
    <x v="240"/>
    <x v="31"/>
  </r>
  <r>
    <s v="Kolkata Knight Riders"/>
    <s v="Punjab Kings"/>
    <x v="13"/>
    <n v="2021"/>
    <d v="2021-10-01T00:00:00"/>
    <s v="Punjab Kings"/>
    <x v="0"/>
    <x v="1"/>
    <x v="16"/>
    <x v="202"/>
    <x v="32"/>
  </r>
  <r>
    <s v="Mumbai Indians"/>
    <s v="Delhi Capitals"/>
    <x v="13"/>
    <n v="2021"/>
    <d v="2021-10-02T00:00:00"/>
    <s v="Delhi Capitals"/>
    <x v="0"/>
    <x v="1"/>
    <x v="15"/>
    <x v="160"/>
    <x v="31"/>
  </r>
  <r>
    <s v="Chennai Super Kings"/>
    <s v="Rajasthan Royals"/>
    <x v="13"/>
    <n v="2021"/>
    <d v="2021-10-02T00:00:00"/>
    <s v="Rajasthan Royals"/>
    <x v="0"/>
    <x v="1"/>
    <x v="4"/>
    <x v="232"/>
    <x v="45"/>
  </r>
  <r>
    <s v="Sunrisers Hyderabad"/>
    <s v="Kolkata Knight Riders"/>
    <x v="13"/>
    <n v="2021"/>
    <d v="2021-10-03T00:00:00"/>
    <s v="Sunrisers Hyderabad"/>
    <x v="1"/>
    <x v="0"/>
    <x v="0"/>
    <x v="224"/>
    <x v="32"/>
  </r>
  <r>
    <s v="Royal Challengers Bangalore"/>
    <s v="Punjab Kings"/>
    <x v="13"/>
    <n v="2021"/>
    <d v="2021-10-03T00:00:00"/>
    <s v="Royal Challengers Bangalore"/>
    <x v="1"/>
    <x v="1"/>
    <x v="3"/>
    <x v="152"/>
    <x v="31"/>
  </r>
  <r>
    <s v="Chennai Super Kings"/>
    <s v="Delhi Capitals"/>
    <x v="13"/>
    <n v="2021"/>
    <d v="2021-10-04T00:00:00"/>
    <s v="Delhi Capitals"/>
    <x v="0"/>
    <x v="1"/>
    <x v="15"/>
    <x v="160"/>
    <x v="32"/>
  </r>
  <r>
    <s v="Rajasthan Royals"/>
    <s v="Mumbai Indians"/>
    <x v="13"/>
    <n v="2021"/>
    <d v="2021-10-05T00:00:00"/>
    <s v="Mumbai Indians"/>
    <x v="0"/>
    <x v="1"/>
    <x v="7"/>
    <x v="170"/>
    <x v="31"/>
  </r>
  <r>
    <s v="Sunrisers Hyderabad"/>
    <s v="Royal Challengers Bangalore"/>
    <x v="13"/>
    <n v="2021"/>
    <d v="2021-10-06T00:00:00"/>
    <s v="Royal Challengers Bangalore"/>
    <x v="0"/>
    <x v="0"/>
    <x v="11"/>
    <x v="193"/>
    <x v="45"/>
  </r>
  <r>
    <s v="Kolkata Knight Riders"/>
    <s v="Rajasthan Royals"/>
    <x v="13"/>
    <n v="2021"/>
    <d v="2021-10-07T00:00:00"/>
    <s v="Rajasthan Royals"/>
    <x v="0"/>
    <x v="0"/>
    <x v="0"/>
    <x v="226"/>
    <x v="31"/>
  </r>
  <r>
    <s v="Chennai Super Kings"/>
    <s v="Punjab Kings"/>
    <x v="13"/>
    <n v="2021"/>
    <d v="2021-10-07T00:00:00"/>
    <s v="Punjab Kings"/>
    <x v="0"/>
    <x v="1"/>
    <x v="16"/>
    <x v="202"/>
    <x v="32"/>
  </r>
  <r>
    <s v="Mumbai Indians"/>
    <s v="Sunrisers Hyderabad"/>
    <x v="13"/>
    <n v="2021"/>
    <d v="2021-10-08T00:00:00"/>
    <s v="Mumbai Indians"/>
    <x v="1"/>
    <x v="1"/>
    <x v="7"/>
    <x v="210"/>
    <x v="45"/>
  </r>
  <r>
    <s v="Delhi Capitals"/>
    <s v="Royal Challengers Bangalore"/>
    <x v="13"/>
    <n v="2021"/>
    <d v="2021-10-08T00:00:00"/>
    <s v="Royal Challengers Bangalore"/>
    <x v="0"/>
    <x v="1"/>
    <x v="3"/>
    <x v="241"/>
    <x v="32"/>
  </r>
  <r>
    <s v="Delhi Capitals"/>
    <s v="Chennai Super Kings"/>
    <x v="13"/>
    <n v="2021"/>
    <d v="2021-10-10T00:00:00"/>
    <s v="Chennai Super Kings"/>
    <x v="0"/>
    <x v="1"/>
    <x v="1"/>
    <x v="232"/>
    <x v="32"/>
  </r>
  <r>
    <s v="Royal Challengers Bangalore"/>
    <s v="Kolkata Knight Riders"/>
    <x v="13"/>
    <n v="2021"/>
    <d v="2021-10-11T00:00:00"/>
    <s v="Royal Challengers Bangalore"/>
    <x v="1"/>
    <x v="0"/>
    <x v="0"/>
    <x v="127"/>
    <x v="31"/>
  </r>
  <r>
    <s v="Delhi Capitals"/>
    <s v="Kolkata Knight Riders"/>
    <x v="13"/>
    <n v="2021"/>
    <d v="2021-10-13T00:00:00"/>
    <s v="Kolkata Knight Riders"/>
    <x v="0"/>
    <x v="1"/>
    <x v="0"/>
    <x v="242"/>
    <x v="31"/>
  </r>
  <r>
    <s v="Chennai Super Kings"/>
    <s v="Kolkata Knight Riders"/>
    <x v="13"/>
    <n v="2021"/>
    <d v="2021-10-15T00:00:00"/>
    <s v="Kolkata Knight Riders"/>
    <x v="0"/>
    <x v="0"/>
    <x v="1"/>
    <x v="123"/>
    <x v="32"/>
  </r>
  <r>
    <s v="Chennai Super Kings"/>
    <s v="Kolkata Knight Riders"/>
    <x v="14"/>
    <n v="2022"/>
    <d v="2022-03-26T00:00:00"/>
    <s v="Kolkata Knight Riders"/>
    <x v="0"/>
    <x v="1"/>
    <x v="0"/>
    <x v="136"/>
    <x v="42"/>
  </r>
  <r>
    <s v="Mumbai Indians"/>
    <s v="Delhi Capitals"/>
    <x v="14"/>
    <n v="2022"/>
    <d v="2022-03-27T00:00:00"/>
    <s v="Delhi Capitals"/>
    <x v="0"/>
    <x v="1"/>
    <x v="15"/>
    <x v="211"/>
    <x v="20"/>
  </r>
  <r>
    <s v="Royal Challengers Bangalore"/>
    <s v="Punjab Kings"/>
    <x v="14"/>
    <n v="2022"/>
    <d v="2022-03-27T00:00:00"/>
    <s v="Punjab Kings"/>
    <x v="0"/>
    <x v="1"/>
    <x v="16"/>
    <x v="243"/>
    <x v="46"/>
  </r>
  <r>
    <s v="Lucknow Super Giants"/>
    <s v="Gujarat Titans"/>
    <x v="14"/>
    <n v="2022"/>
    <d v="2022-03-28T00:00:00"/>
    <s v="Gujarat Titans"/>
    <x v="0"/>
    <x v="1"/>
    <x v="17"/>
    <x v="196"/>
    <x v="42"/>
  </r>
  <r>
    <s v="Rajasthan Royals"/>
    <s v="Sunrisers Hyderabad"/>
    <x v="14"/>
    <n v="2022"/>
    <d v="2022-03-29T00:00:00"/>
    <s v="Sunrisers Hyderabad"/>
    <x v="0"/>
    <x v="0"/>
    <x v="4"/>
    <x v="144"/>
    <x v="47"/>
  </r>
  <r>
    <s v="Kolkata Knight Riders"/>
    <s v="Royal Challengers Bangalore"/>
    <x v="14"/>
    <n v="2022"/>
    <d v="2022-03-30T00:00:00"/>
    <s v="Royal Challengers Bangalore"/>
    <x v="0"/>
    <x v="1"/>
    <x v="3"/>
    <x v="244"/>
    <x v="46"/>
  </r>
  <r>
    <s v="Chennai Super Kings"/>
    <s v="Lucknow Super Giants"/>
    <x v="14"/>
    <n v="2022"/>
    <d v="2022-03-31T00:00:00"/>
    <s v="Lucknow Super Giants"/>
    <x v="0"/>
    <x v="1"/>
    <x v="18"/>
    <x v="245"/>
    <x v="20"/>
  </r>
  <r>
    <s v="Punjab Kings"/>
    <s v="Kolkata Knight Riders"/>
    <x v="14"/>
    <n v="2022"/>
    <d v="2022-04-01T00:00:00"/>
    <s v="Kolkata Knight Riders"/>
    <x v="0"/>
    <x v="1"/>
    <x v="0"/>
    <x v="136"/>
    <x v="42"/>
  </r>
  <r>
    <s v="Gujarat Titans"/>
    <s v="Delhi Capitals"/>
    <x v="14"/>
    <n v="2022"/>
    <d v="2022-04-02T00:00:00"/>
    <s v="Delhi Capitals"/>
    <x v="0"/>
    <x v="0"/>
    <x v="17"/>
    <x v="195"/>
    <x v="47"/>
  </r>
  <r>
    <s v="Rajasthan Royals"/>
    <s v="Mumbai Indians"/>
    <x v="14"/>
    <n v="2022"/>
    <d v="2022-04-02T00:00:00"/>
    <s v="Mumbai Indians"/>
    <x v="0"/>
    <x v="0"/>
    <x v="4"/>
    <x v="194"/>
    <x v="46"/>
  </r>
  <r>
    <s v="Punjab Kings"/>
    <s v="Chennai Super Kings"/>
    <x v="14"/>
    <n v="2022"/>
    <d v="2022-04-03T00:00:00"/>
    <s v="Chennai Super Kings"/>
    <x v="0"/>
    <x v="0"/>
    <x v="16"/>
    <x v="246"/>
    <x v="20"/>
  </r>
  <r>
    <s v="Lucknow Super Giants"/>
    <s v="Sunrisers Hyderabad"/>
    <x v="14"/>
    <n v="2022"/>
    <d v="2022-04-04T00:00:00"/>
    <s v="Sunrisers Hyderabad"/>
    <x v="0"/>
    <x v="0"/>
    <x v="18"/>
    <x v="247"/>
    <x v="46"/>
  </r>
  <r>
    <s v="Rajasthan Royals"/>
    <s v="Royal Challengers Bangalore"/>
    <x v="14"/>
    <n v="2022"/>
    <d v="2022-04-05T00:00:00"/>
    <s v="Royal Challengers Bangalore"/>
    <x v="0"/>
    <x v="1"/>
    <x v="3"/>
    <x v="35"/>
    <x v="42"/>
  </r>
  <r>
    <s v="Mumbai Indians"/>
    <s v="Kolkata Knight Riders"/>
    <x v="14"/>
    <n v="2022"/>
    <d v="2022-04-06T00:00:00"/>
    <s v="Kolkata Knight Riders"/>
    <x v="0"/>
    <x v="1"/>
    <x v="0"/>
    <x v="233"/>
    <x v="47"/>
  </r>
  <r>
    <s v="Delhi Capitals"/>
    <s v="Lucknow Super Giants"/>
    <x v="14"/>
    <n v="2022"/>
    <d v="2022-04-07T00:00:00"/>
    <s v="Lucknow Super Giants"/>
    <x v="0"/>
    <x v="1"/>
    <x v="18"/>
    <x v="176"/>
    <x v="46"/>
  </r>
  <r>
    <s v="Punjab Kings"/>
    <s v="Gujarat Titans"/>
    <x v="14"/>
    <n v="2022"/>
    <d v="2022-04-08T00:00:00"/>
    <s v="Gujarat Titans"/>
    <x v="0"/>
    <x v="1"/>
    <x v="17"/>
    <x v="224"/>
    <x v="20"/>
  </r>
  <r>
    <s v="Chennai Super Kings"/>
    <s v="Sunrisers Hyderabad"/>
    <x v="14"/>
    <n v="2022"/>
    <d v="2022-04-09T00:00:00"/>
    <s v="Sunrisers Hyderabad"/>
    <x v="0"/>
    <x v="1"/>
    <x v="11"/>
    <x v="248"/>
    <x v="46"/>
  </r>
  <r>
    <s v="Mumbai Indians"/>
    <s v="Royal Challengers Bangalore"/>
    <x v="14"/>
    <n v="2022"/>
    <d v="2022-04-09T00:00:00"/>
    <s v="Royal Challengers Bangalore"/>
    <x v="0"/>
    <x v="1"/>
    <x v="3"/>
    <x v="249"/>
    <x v="47"/>
  </r>
  <r>
    <s v="Rajasthan Royals"/>
    <s v="Lucknow Super Giants"/>
    <x v="14"/>
    <n v="2022"/>
    <d v="2022-04-10T00:00:00"/>
    <s v="Lucknow Super Giants"/>
    <x v="0"/>
    <x v="0"/>
    <x v="4"/>
    <x v="151"/>
    <x v="42"/>
  </r>
  <r>
    <s v="Delhi Capitals"/>
    <s v="Kolkata Knight Riders"/>
    <x v="14"/>
    <n v="2022"/>
    <d v="2022-04-10T00:00:00"/>
    <s v="Kolkata Knight Riders"/>
    <x v="0"/>
    <x v="0"/>
    <x v="15"/>
    <x v="211"/>
    <x v="20"/>
  </r>
  <r>
    <s v="Gujarat Titans"/>
    <s v="Sunrisers Hyderabad"/>
    <x v="14"/>
    <n v="2022"/>
    <d v="2022-04-11T00:00:00"/>
    <s v="Sunrisers Hyderabad"/>
    <x v="0"/>
    <x v="1"/>
    <x v="11"/>
    <x v="193"/>
    <x v="46"/>
  </r>
  <r>
    <s v="Chennai Super Kings"/>
    <s v="Royal Challengers Bangalore"/>
    <x v="14"/>
    <n v="2022"/>
    <d v="2022-04-12T00:00:00"/>
    <s v="Royal Challengers Bangalore"/>
    <x v="0"/>
    <x v="0"/>
    <x v="1"/>
    <x v="250"/>
    <x v="46"/>
  </r>
  <r>
    <s v="Punjab Kings"/>
    <s v="Mumbai Indians"/>
    <x v="14"/>
    <n v="2022"/>
    <d v="2022-04-13T00:00:00"/>
    <s v="Mumbai Indians"/>
    <x v="0"/>
    <x v="0"/>
    <x v="16"/>
    <x v="164"/>
    <x v="47"/>
  </r>
  <r>
    <s v="Gujarat Titans"/>
    <s v="Rajasthan Royals"/>
    <x v="14"/>
    <n v="2022"/>
    <d v="2022-04-14T00:00:00"/>
    <s v="Rajasthan Royals"/>
    <x v="0"/>
    <x v="0"/>
    <x v="17"/>
    <x v="172"/>
    <x v="46"/>
  </r>
  <r>
    <s v="Kolkata Knight Riders"/>
    <s v="Sunrisers Hyderabad"/>
    <x v="14"/>
    <n v="2022"/>
    <d v="2022-04-15T00:00:00"/>
    <s v="Sunrisers Hyderabad"/>
    <x v="0"/>
    <x v="1"/>
    <x v="11"/>
    <x v="197"/>
    <x v="20"/>
  </r>
  <r>
    <s v="Royal Challengers Bangalore"/>
    <s v="Delhi Capitals"/>
    <x v="14"/>
    <n v="2022"/>
    <d v="2022-04-16T00:00:00"/>
    <s v="Delhi Capitals"/>
    <x v="0"/>
    <x v="0"/>
    <x v="3"/>
    <x v="35"/>
    <x v="42"/>
  </r>
  <r>
    <s v="Lucknow Super Giants"/>
    <s v="Mumbai Indians"/>
    <x v="14"/>
    <n v="2022"/>
    <d v="2022-04-16T00:00:00"/>
    <s v="Mumbai Indians"/>
    <x v="0"/>
    <x v="0"/>
    <x v="18"/>
    <x v="202"/>
    <x v="20"/>
  </r>
  <r>
    <s v="Punjab Kings"/>
    <s v="Sunrisers Hyderabad"/>
    <x v="14"/>
    <n v="2022"/>
    <d v="2022-04-17T00:00:00"/>
    <s v="Sunrisers Hyderabad"/>
    <x v="0"/>
    <x v="1"/>
    <x v="11"/>
    <x v="251"/>
    <x v="46"/>
  </r>
  <r>
    <s v="Chennai Super Kings"/>
    <s v="Gujarat Titans"/>
    <x v="14"/>
    <n v="2022"/>
    <d v="2022-04-17T00:00:00"/>
    <s v="Gujarat Titans"/>
    <x v="0"/>
    <x v="1"/>
    <x v="17"/>
    <x v="143"/>
    <x v="47"/>
  </r>
  <r>
    <s v="Rajasthan Royals"/>
    <s v="Kolkata Knight Riders"/>
    <x v="14"/>
    <n v="2022"/>
    <d v="2022-04-18T00:00:00"/>
    <s v="Kolkata Knight Riders"/>
    <x v="0"/>
    <x v="0"/>
    <x v="4"/>
    <x v="151"/>
    <x v="20"/>
  </r>
  <r>
    <s v="Royal Challengers Bangalore"/>
    <s v="Lucknow Super Giants"/>
    <x v="14"/>
    <n v="2022"/>
    <d v="2022-04-19T00:00:00"/>
    <s v="Lucknow Super Giants"/>
    <x v="0"/>
    <x v="0"/>
    <x v="3"/>
    <x v="123"/>
    <x v="46"/>
  </r>
  <r>
    <s v="Punjab Kings"/>
    <s v="Delhi Capitals"/>
    <x v="14"/>
    <n v="2022"/>
    <d v="2022-04-20T00:00:00"/>
    <s v="Delhi Capitals"/>
    <x v="0"/>
    <x v="1"/>
    <x v="15"/>
    <x v="211"/>
    <x v="20"/>
  </r>
  <r>
    <s v="Mumbai Indians"/>
    <s v="Chennai Super Kings"/>
    <x v="14"/>
    <n v="2022"/>
    <d v="2022-04-21T00:00:00"/>
    <s v="Chennai Super Kings"/>
    <x v="0"/>
    <x v="1"/>
    <x v="1"/>
    <x v="252"/>
    <x v="46"/>
  </r>
  <r>
    <s v="Rajasthan Royals"/>
    <s v="Delhi Capitals"/>
    <x v="14"/>
    <n v="2022"/>
    <d v="2022-04-22T00:00:00"/>
    <s v="Delhi Capitals"/>
    <x v="0"/>
    <x v="0"/>
    <x v="4"/>
    <x v="194"/>
    <x v="42"/>
  </r>
  <r>
    <s v="Royal Challengers Bangalore"/>
    <s v="Sunrisers Hyderabad"/>
    <x v="14"/>
    <n v="2022"/>
    <d v="2022-04-23T00:00:00"/>
    <s v="Sunrisers Hyderabad"/>
    <x v="0"/>
    <x v="1"/>
    <x v="11"/>
    <x v="253"/>
    <x v="20"/>
  </r>
  <r>
    <s v="Gujarat Titans"/>
    <s v="Kolkata Knight Riders"/>
    <x v="14"/>
    <n v="2022"/>
    <d v="2022-04-23T00:00:00"/>
    <s v="Gujarat Titans"/>
    <x v="1"/>
    <x v="1"/>
    <x v="17"/>
    <x v="188"/>
    <x v="46"/>
  </r>
  <r>
    <s v="Lucknow Super Giants"/>
    <s v="Mumbai Indians"/>
    <x v="14"/>
    <n v="2022"/>
    <d v="2022-04-24T00:00:00"/>
    <s v="Mumbai Indians"/>
    <x v="0"/>
    <x v="0"/>
    <x v="18"/>
    <x v="202"/>
    <x v="42"/>
  </r>
  <r>
    <s v="Punjab Kings"/>
    <s v="Chennai Super Kings"/>
    <x v="14"/>
    <n v="2022"/>
    <d v="2022-04-25T00:00:00"/>
    <s v="Chennai Super Kings"/>
    <x v="0"/>
    <x v="0"/>
    <x v="16"/>
    <x v="114"/>
    <x v="42"/>
  </r>
  <r>
    <s v="Rajasthan Royals"/>
    <s v="Royal Challengers Bangalore"/>
    <x v="14"/>
    <n v="2022"/>
    <d v="2022-04-26T00:00:00"/>
    <s v="Royal Challengers Bangalore"/>
    <x v="0"/>
    <x v="0"/>
    <x v="4"/>
    <x v="254"/>
    <x v="47"/>
  </r>
  <r>
    <s v="Sunrisers Hyderabad"/>
    <s v="Gujarat Titans"/>
    <x v="14"/>
    <n v="2022"/>
    <d v="2022-04-27T00:00:00"/>
    <s v="Gujarat Titans"/>
    <x v="0"/>
    <x v="1"/>
    <x v="17"/>
    <x v="251"/>
    <x v="42"/>
  </r>
  <r>
    <s v="Kolkata Knight Riders"/>
    <s v="Delhi Capitals"/>
    <x v="14"/>
    <n v="2022"/>
    <d v="2022-04-28T00:00:00"/>
    <s v="Delhi Capitals"/>
    <x v="0"/>
    <x v="1"/>
    <x v="15"/>
    <x v="211"/>
    <x v="42"/>
  </r>
  <r>
    <s v="Lucknow Super Giants"/>
    <s v="Punjab Kings"/>
    <x v="14"/>
    <n v="2022"/>
    <d v="2022-04-29T00:00:00"/>
    <s v="Punjab Kings"/>
    <x v="0"/>
    <x v="0"/>
    <x v="18"/>
    <x v="185"/>
    <x v="47"/>
  </r>
  <r>
    <s v="Royal Challengers Bangalore"/>
    <s v="Gujarat Titans"/>
    <x v="14"/>
    <n v="2022"/>
    <d v="2022-04-30T00:00:00"/>
    <s v="Royal Challengers Bangalore"/>
    <x v="1"/>
    <x v="0"/>
    <x v="17"/>
    <x v="228"/>
    <x v="20"/>
  </r>
  <r>
    <s v="Rajasthan Royals"/>
    <s v="Mumbai Indians"/>
    <x v="14"/>
    <n v="2022"/>
    <d v="2022-04-30T00:00:00"/>
    <s v="Mumbai Indians"/>
    <x v="0"/>
    <x v="1"/>
    <x v="7"/>
    <x v="178"/>
    <x v="46"/>
  </r>
  <r>
    <s v="Lucknow Super Giants"/>
    <s v="Delhi Capitals"/>
    <x v="14"/>
    <n v="2022"/>
    <d v="2022-05-01T00:00:00"/>
    <s v="Lucknow Super Giants"/>
    <x v="1"/>
    <x v="1"/>
    <x v="18"/>
    <x v="255"/>
    <x v="42"/>
  </r>
  <r>
    <s v="Chennai Super Kings"/>
    <s v="Sunrisers Hyderabad"/>
    <x v="14"/>
    <n v="2022"/>
    <d v="2022-05-01T00:00:00"/>
    <s v="Sunrisers Hyderabad"/>
    <x v="0"/>
    <x v="0"/>
    <x v="1"/>
    <x v="232"/>
    <x v="47"/>
  </r>
  <r>
    <s v="Rajasthan Royals"/>
    <s v="Kolkata Knight Riders"/>
    <x v="14"/>
    <n v="2022"/>
    <d v="2022-05-02T00:00:00"/>
    <s v="Kolkata Knight Riders"/>
    <x v="0"/>
    <x v="1"/>
    <x v="0"/>
    <x v="256"/>
    <x v="42"/>
  </r>
  <r>
    <s v="Gujarat Titans"/>
    <s v="Punjab Kings"/>
    <x v="14"/>
    <n v="2022"/>
    <d v="2022-05-03T00:00:00"/>
    <s v="Gujarat Titans"/>
    <x v="1"/>
    <x v="0"/>
    <x v="16"/>
    <x v="218"/>
    <x v="46"/>
  </r>
  <r>
    <s v="Royal Challengers Bangalore"/>
    <s v="Chennai Super Kings"/>
    <x v="14"/>
    <n v="2022"/>
    <d v="2022-05-04T00:00:00"/>
    <s v="Chennai Super Kings"/>
    <x v="0"/>
    <x v="0"/>
    <x v="3"/>
    <x v="199"/>
    <x v="47"/>
  </r>
  <r>
    <s v="Delhi Capitals"/>
    <s v="Sunrisers Hyderabad"/>
    <x v="14"/>
    <n v="2022"/>
    <d v="2022-05-05T00:00:00"/>
    <s v="Sunrisers Hyderabad"/>
    <x v="0"/>
    <x v="0"/>
    <x v="15"/>
    <x v="79"/>
    <x v="20"/>
  </r>
  <r>
    <s v="Mumbai Indians"/>
    <s v="Gujarat Titans"/>
    <x v="14"/>
    <n v="2022"/>
    <d v="2022-05-06T00:00:00"/>
    <s v="Gujarat Titans"/>
    <x v="0"/>
    <x v="0"/>
    <x v="7"/>
    <x v="257"/>
    <x v="20"/>
  </r>
  <r>
    <s v="Lucknow Super Giants"/>
    <s v="Kolkata Knight Riders"/>
    <x v="14"/>
    <n v="2022"/>
    <d v="2022-05-07T00:00:00"/>
    <s v="Kolkata Knight Riders"/>
    <x v="0"/>
    <x v="0"/>
    <x v="18"/>
    <x v="247"/>
    <x v="47"/>
  </r>
  <r>
    <s v="Punjab Kings"/>
    <s v="Rajasthan Royals"/>
    <x v="14"/>
    <n v="2022"/>
    <d v="2022-05-07T00:00:00"/>
    <s v="Punjab Kings"/>
    <x v="1"/>
    <x v="0"/>
    <x v="4"/>
    <x v="258"/>
    <x v="42"/>
  </r>
  <r>
    <s v="Chennai Super Kings"/>
    <s v="Delhi Capitals"/>
    <x v="14"/>
    <n v="2022"/>
    <d v="2022-05-08T00:00:00"/>
    <s v="Delhi Capitals"/>
    <x v="0"/>
    <x v="0"/>
    <x v="1"/>
    <x v="259"/>
    <x v="46"/>
  </r>
  <r>
    <s v="Royal Challengers Bangalore"/>
    <s v="Sunrisers Hyderabad"/>
    <x v="14"/>
    <n v="2022"/>
    <d v="2022-05-08T00:00:00"/>
    <s v="Royal Challengers Bangalore"/>
    <x v="1"/>
    <x v="1"/>
    <x v="3"/>
    <x v="244"/>
    <x v="42"/>
  </r>
  <r>
    <s v="Kolkata Knight Riders"/>
    <s v="Mumbai Indians"/>
    <x v="14"/>
    <n v="2022"/>
    <d v="2022-05-09T00:00:00"/>
    <s v="Mumbai Indians"/>
    <x v="0"/>
    <x v="0"/>
    <x v="0"/>
    <x v="190"/>
    <x v="46"/>
  </r>
  <r>
    <s v="Gujarat Titans"/>
    <s v="Lucknow Super Giants"/>
    <x v="14"/>
    <n v="2022"/>
    <d v="2022-05-10T00:00:00"/>
    <s v="Gujarat Titans"/>
    <x v="1"/>
    <x v="1"/>
    <x v="17"/>
    <x v="224"/>
    <x v="47"/>
  </r>
  <r>
    <s v="Rajasthan Royals"/>
    <s v="Delhi Capitals"/>
    <x v="14"/>
    <n v="2022"/>
    <d v="2022-05-11T00:00:00"/>
    <s v="Delhi Capitals"/>
    <x v="0"/>
    <x v="1"/>
    <x v="15"/>
    <x v="111"/>
    <x v="46"/>
  </r>
  <r>
    <s v="Chennai Super Kings"/>
    <s v="Mumbai Indians"/>
    <x v="14"/>
    <n v="2022"/>
    <d v="2022-05-12T00:00:00"/>
    <s v="Mumbai Indians"/>
    <x v="0"/>
    <x v="1"/>
    <x v="7"/>
    <x v="260"/>
    <x v="42"/>
  </r>
  <r>
    <s v="Punjab Kings"/>
    <s v="Royal Challengers Bangalore"/>
    <x v="14"/>
    <n v="2022"/>
    <d v="2022-05-13T00:00:00"/>
    <s v="Royal Challengers Bangalore"/>
    <x v="0"/>
    <x v="0"/>
    <x v="16"/>
    <x v="215"/>
    <x v="20"/>
  </r>
  <r>
    <s v="Kolkata Knight Riders"/>
    <s v="Sunrisers Hyderabad"/>
    <x v="14"/>
    <n v="2022"/>
    <d v="2022-05-14T00:00:00"/>
    <s v="Kolkata Knight Riders"/>
    <x v="1"/>
    <x v="1"/>
    <x v="0"/>
    <x v="165"/>
    <x v="47"/>
  </r>
  <r>
    <s v="Rajasthan Royals"/>
    <s v="Lucknow Super Giants"/>
    <x v="14"/>
    <n v="2022"/>
    <d v="2022-05-15T00:00:00"/>
    <s v="Rajasthan Royals"/>
    <x v="1"/>
    <x v="1"/>
    <x v="4"/>
    <x v="169"/>
    <x v="20"/>
  </r>
  <r>
    <s v="Chennai Super Kings"/>
    <s v="Gujarat Titans"/>
    <x v="14"/>
    <n v="2022"/>
    <d v="2022-05-15T00:00:00"/>
    <s v="Chennai Super Kings"/>
    <x v="1"/>
    <x v="0"/>
    <x v="17"/>
    <x v="113"/>
    <x v="42"/>
  </r>
  <r>
    <s v="Delhi Capitals"/>
    <s v="Punjab Kings"/>
    <x v="14"/>
    <n v="2022"/>
    <d v="2022-05-16T00:00:00"/>
    <s v="Punjab Kings"/>
    <x v="0"/>
    <x v="0"/>
    <x v="15"/>
    <x v="261"/>
    <x v="46"/>
  </r>
  <r>
    <s v="Sunrisers Hyderabad"/>
    <s v="Mumbai Indians"/>
    <x v="14"/>
    <n v="2022"/>
    <d v="2022-05-17T00:00:00"/>
    <s v="Mumbai Indians"/>
    <x v="0"/>
    <x v="0"/>
    <x v="11"/>
    <x v="197"/>
    <x v="42"/>
  </r>
  <r>
    <s v="Lucknow Super Giants"/>
    <s v="Kolkata Knight Riders"/>
    <x v="14"/>
    <n v="2022"/>
    <d v="2022-05-18T00:00:00"/>
    <s v="Lucknow Super Giants"/>
    <x v="1"/>
    <x v="1"/>
    <x v="18"/>
    <x v="176"/>
    <x v="46"/>
  </r>
  <r>
    <s v="Gujarat Titans"/>
    <s v="Royal Challengers Bangalore"/>
    <x v="14"/>
    <n v="2022"/>
    <d v="2022-05-19T00:00:00"/>
    <s v="Gujarat Titans"/>
    <x v="1"/>
    <x v="0"/>
    <x v="3"/>
    <x v="104"/>
    <x v="42"/>
  </r>
  <r>
    <s v="Chennai Super Kings"/>
    <s v="Rajasthan Royals"/>
    <x v="14"/>
    <n v="2022"/>
    <d v="2022-05-20T00:00:00"/>
    <s v="Chennai Super Kings"/>
    <x v="1"/>
    <x v="0"/>
    <x v="4"/>
    <x v="90"/>
    <x v="20"/>
  </r>
  <r>
    <s v="Delhi Capitals"/>
    <s v="Mumbai Indians"/>
    <x v="14"/>
    <n v="2022"/>
    <d v="2022-05-21T00:00:00"/>
    <s v="Mumbai Indians"/>
    <x v="0"/>
    <x v="1"/>
    <x v="7"/>
    <x v="190"/>
    <x v="42"/>
  </r>
  <r>
    <s v="Sunrisers Hyderabad"/>
    <s v="Punjab Kings"/>
    <x v="14"/>
    <n v="2022"/>
    <d v="2022-05-22T00:00:00"/>
    <s v="Sunrisers Hyderabad"/>
    <x v="1"/>
    <x v="0"/>
    <x v="16"/>
    <x v="237"/>
    <x v="42"/>
  </r>
  <r>
    <s v="Rajasthan Royals"/>
    <s v="Gujarat Titans"/>
    <x v="14"/>
    <n v="2022"/>
    <d v="2022-05-24T00:00:00"/>
    <s v="Gujarat Titans"/>
    <x v="0"/>
    <x v="1"/>
    <x v="17"/>
    <x v="143"/>
    <x v="48"/>
  </r>
  <r>
    <s v="Royal Challengers Bangalore"/>
    <s v="Lucknow Super Giants"/>
    <x v="14"/>
    <n v="2022"/>
    <d v="2022-05-25T00:00:00"/>
    <s v="Lucknow Super Giants"/>
    <x v="0"/>
    <x v="0"/>
    <x v="3"/>
    <x v="262"/>
    <x v="48"/>
  </r>
  <r>
    <s v="Royal Challengers Bangalore"/>
    <s v="Rajasthan Royals"/>
    <x v="14"/>
    <n v="2022"/>
    <d v="2022-05-27T00:00:00"/>
    <s v="Rajasthan Royals"/>
    <x v="0"/>
    <x v="1"/>
    <x v="4"/>
    <x v="194"/>
    <x v="43"/>
  </r>
  <r>
    <s v="Rajasthan Royals"/>
    <s v="Gujarat Titans"/>
    <x v="14"/>
    <n v="2022"/>
    <d v="2022-05-29T00:00:00"/>
    <s v="Rajasthan Royals"/>
    <x v="1"/>
    <x v="0"/>
    <x v="17"/>
    <x v="172"/>
    <x v="43"/>
  </r>
  <r>
    <s v="Chennai Super Kings"/>
    <s v="Gujarat Titans"/>
    <x v="15"/>
    <n v="2023"/>
    <d v="2023-03-31T00:00:00"/>
    <s v="Gujarat Titans"/>
    <x v="0"/>
    <x v="1"/>
    <x v="17"/>
    <x v="188"/>
    <x v="43"/>
  </r>
  <r>
    <s v="Punjab Kings"/>
    <s v="Kolkata Knight Riders"/>
    <x v="15"/>
    <n v="2023"/>
    <d v="2023-04-01T00:00:00"/>
    <s v="Kolkata Knight Riders"/>
    <x v="0"/>
    <x v="0"/>
    <x v="16"/>
    <x v="263"/>
    <x v="49"/>
  </r>
  <r>
    <s v="Lucknow Super Giants"/>
    <s v="Delhi Capitals"/>
    <x v="15"/>
    <n v="2023"/>
    <d v="2023-04-01T00:00:00"/>
    <s v="Delhi Capitals"/>
    <x v="0"/>
    <x v="0"/>
    <x v="18"/>
    <x v="264"/>
    <x v="50"/>
  </r>
  <r>
    <s v="Rajasthan Royals"/>
    <s v="Sunrisers Hyderabad"/>
    <x v="15"/>
    <n v="2023"/>
    <d v="2023-04-02T00:00:00"/>
    <s v="Sunrisers Hyderabad"/>
    <x v="0"/>
    <x v="0"/>
    <x v="4"/>
    <x v="194"/>
    <x v="51"/>
  </r>
  <r>
    <s v="Mumbai Indians"/>
    <s v="Royal Challengers Bangalore"/>
    <x v="15"/>
    <n v="2023"/>
    <d v="2023-04-02T00:00:00"/>
    <s v="Royal Challengers Bangalore"/>
    <x v="0"/>
    <x v="1"/>
    <x v="3"/>
    <x v="123"/>
    <x v="52"/>
  </r>
  <r>
    <s v="Chennai Super Kings"/>
    <s v="Lucknow Super Giants"/>
    <x v="15"/>
    <n v="2023"/>
    <d v="2023-04-03T00:00:00"/>
    <s v="Lucknow Super Giants"/>
    <x v="0"/>
    <x v="0"/>
    <x v="1"/>
    <x v="235"/>
    <x v="41"/>
  </r>
  <r>
    <s v="Delhi Capitals"/>
    <s v="Gujarat Titans"/>
    <x v="15"/>
    <n v="2023"/>
    <d v="2023-04-04T00:00:00"/>
    <s v="Gujarat Titans"/>
    <x v="0"/>
    <x v="1"/>
    <x v="17"/>
    <x v="265"/>
    <x v="44"/>
  </r>
  <r>
    <s v="Punjab Kings"/>
    <s v="Rajasthan Royals"/>
    <x v="15"/>
    <n v="2023"/>
    <d v="2023-04-05T00:00:00"/>
    <s v="Rajasthan Royals"/>
    <x v="0"/>
    <x v="0"/>
    <x v="16"/>
    <x v="266"/>
    <x v="53"/>
  </r>
  <r>
    <s v="Kolkata Knight Riders"/>
    <s v="Royal Challengers Bangalore"/>
    <x v="15"/>
    <n v="2023"/>
    <d v="2023-04-06T00:00:00"/>
    <s v="Royal Challengers Bangalore"/>
    <x v="0"/>
    <x v="0"/>
    <x v="0"/>
    <x v="261"/>
    <x v="48"/>
  </r>
  <r>
    <s v="Sunrisers Hyderabad"/>
    <s v="Lucknow Super Giants"/>
    <x v="15"/>
    <n v="2023"/>
    <d v="2023-04-07T00:00:00"/>
    <s v="Sunrisers Hyderabad"/>
    <x v="1"/>
    <x v="0"/>
    <x v="18"/>
    <x v="185"/>
    <x v="50"/>
  </r>
  <r>
    <s v="Rajasthan Royals"/>
    <s v="Delhi Capitals"/>
    <x v="15"/>
    <n v="2023"/>
    <d v="2023-04-08T00:00:00"/>
    <s v="Delhi Capitals"/>
    <x v="0"/>
    <x v="0"/>
    <x v="4"/>
    <x v="258"/>
    <x v="53"/>
  </r>
  <r>
    <s v="Mumbai Indians"/>
    <s v="Chennai Super Kings"/>
    <x v="15"/>
    <n v="2023"/>
    <d v="2023-04-08T00:00:00"/>
    <s v="Chennai Super Kings"/>
    <x v="0"/>
    <x v="1"/>
    <x v="1"/>
    <x v="120"/>
    <x v="42"/>
  </r>
  <r>
    <s v="Punjab Kings"/>
    <s v="Sunrisers Hyderabad"/>
    <x v="15"/>
    <n v="2023"/>
    <d v="2023-04-09T00:00:00"/>
    <s v="Sunrisers Hyderabad"/>
    <x v="0"/>
    <x v="1"/>
    <x v="11"/>
    <x v="114"/>
    <x v="51"/>
  </r>
  <r>
    <s v="Gujarat Titans"/>
    <s v="Kolkata Knight Riders"/>
    <x v="15"/>
    <n v="2023"/>
    <d v="2023-04-09T00:00:00"/>
    <s v="Gujarat Titans"/>
    <x v="1"/>
    <x v="0"/>
    <x v="0"/>
    <x v="256"/>
    <x v="43"/>
  </r>
  <r>
    <s v="Royal Challengers Bangalore"/>
    <s v="Lucknow Super Giants"/>
    <x v="15"/>
    <n v="2023"/>
    <d v="2023-04-10T00:00:00"/>
    <s v="Lucknow Super Giants"/>
    <x v="0"/>
    <x v="1"/>
    <x v="18"/>
    <x v="267"/>
    <x v="52"/>
  </r>
  <r>
    <s v="Delhi Capitals"/>
    <s v="Mumbai Indians"/>
    <x v="15"/>
    <n v="2023"/>
    <d v="2023-04-11T00:00:00"/>
    <s v="Mumbai Indians"/>
    <x v="0"/>
    <x v="1"/>
    <x v="7"/>
    <x v="57"/>
    <x v="44"/>
  </r>
  <r>
    <s v="Rajasthan Royals"/>
    <s v="Chennai Super Kings"/>
    <x v="15"/>
    <n v="2023"/>
    <d v="2023-04-12T00:00:00"/>
    <s v="Chennai Super Kings"/>
    <x v="0"/>
    <x v="0"/>
    <x v="4"/>
    <x v="90"/>
    <x v="41"/>
  </r>
  <r>
    <s v="Punjab Kings"/>
    <s v="Gujarat Titans"/>
    <x v="15"/>
    <n v="2023"/>
    <d v="2023-04-13T00:00:00"/>
    <s v="Gujarat Titans"/>
    <x v="0"/>
    <x v="1"/>
    <x v="17"/>
    <x v="154"/>
    <x v="49"/>
  </r>
  <r>
    <s v="Sunrisers Hyderabad"/>
    <s v="Kolkata Knight Riders"/>
    <x v="15"/>
    <n v="2023"/>
    <d v="2023-04-14T00:00:00"/>
    <s v="Kolkata Knight Riders"/>
    <x v="0"/>
    <x v="0"/>
    <x v="11"/>
    <x v="268"/>
    <x v="48"/>
  </r>
  <r>
    <s v="Royal Challengers Bangalore"/>
    <s v="Delhi Capitals"/>
    <x v="15"/>
    <n v="2023"/>
    <d v="2023-04-15T00:00:00"/>
    <s v="Delhi Capitals"/>
    <x v="0"/>
    <x v="0"/>
    <x v="3"/>
    <x v="104"/>
    <x v="52"/>
  </r>
  <r>
    <s v="Lucknow Super Giants"/>
    <s v="Punjab Kings"/>
    <x v="15"/>
    <n v="2023"/>
    <d v="2023-04-15T00:00:00"/>
    <s v="Punjab Kings"/>
    <x v="0"/>
    <x v="1"/>
    <x v="16"/>
    <x v="269"/>
    <x v="50"/>
  </r>
  <r>
    <s v="Kolkata Knight Riders"/>
    <s v="Mumbai Indians"/>
    <x v="15"/>
    <n v="2023"/>
    <d v="2023-04-16T00:00:00"/>
    <s v="Mumbai Indians"/>
    <x v="0"/>
    <x v="1"/>
    <x v="7"/>
    <x v="242"/>
    <x v="42"/>
  </r>
  <r>
    <s v="Gujarat Titans"/>
    <s v="Rajasthan Royals"/>
    <x v="15"/>
    <n v="2023"/>
    <d v="2023-04-16T00:00:00"/>
    <s v="Rajasthan Royals"/>
    <x v="0"/>
    <x v="1"/>
    <x v="4"/>
    <x v="225"/>
    <x v="43"/>
  </r>
  <r>
    <s v="Chennai Super Kings"/>
    <s v="Royal Challengers Bangalore"/>
    <x v="15"/>
    <n v="2023"/>
    <d v="2023-04-17T00:00:00"/>
    <s v="Royal Challengers Bangalore"/>
    <x v="0"/>
    <x v="0"/>
    <x v="1"/>
    <x v="259"/>
    <x v="52"/>
  </r>
  <r>
    <s v="Mumbai Indians"/>
    <s v="Sunrisers Hyderabad"/>
    <x v="15"/>
    <n v="2023"/>
    <d v="2023-04-18T00:00:00"/>
    <s v="Sunrisers Hyderabad"/>
    <x v="0"/>
    <x v="0"/>
    <x v="7"/>
    <x v="270"/>
    <x v="51"/>
  </r>
  <r>
    <s v="Lucknow Super Giants"/>
    <s v="Rajasthan Royals"/>
    <x v="15"/>
    <n v="2023"/>
    <d v="2023-04-19T00:00:00"/>
    <s v="Rajasthan Royals"/>
    <x v="0"/>
    <x v="0"/>
    <x v="18"/>
    <x v="183"/>
    <x v="54"/>
  </r>
  <r>
    <s v="Royal Challengers Bangalore"/>
    <s v="Punjab Kings"/>
    <x v="15"/>
    <n v="2023"/>
    <d v="2023-04-20T00:00:00"/>
    <s v="Punjab Kings"/>
    <x v="0"/>
    <x v="0"/>
    <x v="3"/>
    <x v="198"/>
    <x v="49"/>
  </r>
  <r>
    <s v="Kolkata Knight Riders"/>
    <s v="Delhi Capitals"/>
    <x v="15"/>
    <n v="2023"/>
    <d v="2023-04-20T00:00:00"/>
    <s v="Delhi Capitals"/>
    <x v="0"/>
    <x v="1"/>
    <x v="15"/>
    <x v="105"/>
    <x v="44"/>
  </r>
  <r>
    <s v="Sunrisers Hyderabad"/>
    <s v="Chennai Super Kings"/>
    <x v="15"/>
    <n v="2023"/>
    <d v="2023-04-21T00:00:00"/>
    <s v="Chennai Super Kings"/>
    <x v="0"/>
    <x v="1"/>
    <x v="1"/>
    <x v="120"/>
    <x v="41"/>
  </r>
  <r>
    <s v="Punjab Kings"/>
    <s v="Mumbai Indians"/>
    <x v="15"/>
    <n v="2023"/>
    <d v="2023-04-22T00:00:00"/>
    <s v="Mumbai Indians"/>
    <x v="0"/>
    <x v="0"/>
    <x v="16"/>
    <x v="216"/>
    <x v="42"/>
  </r>
  <r>
    <s v="Gujarat Titans"/>
    <s v="Lucknow Super Giants"/>
    <x v="15"/>
    <n v="2023"/>
    <d v="2023-04-22T00:00:00"/>
    <s v="Gujarat Titans"/>
    <x v="1"/>
    <x v="1"/>
    <x v="17"/>
    <x v="154"/>
    <x v="50"/>
  </r>
  <r>
    <s v="Royal Challengers Bangalore"/>
    <s v="Rajasthan Royals"/>
    <x v="15"/>
    <n v="2023"/>
    <d v="2023-04-23T00:00:00"/>
    <s v="Rajasthan Royals"/>
    <x v="0"/>
    <x v="0"/>
    <x v="3"/>
    <x v="152"/>
    <x v="52"/>
  </r>
  <r>
    <s v="Chennai Super Kings"/>
    <s v="Kolkata Knight Riders"/>
    <x v="15"/>
    <n v="2023"/>
    <d v="2023-04-23T00:00:00"/>
    <s v="Kolkata Knight Riders"/>
    <x v="0"/>
    <x v="0"/>
    <x v="1"/>
    <x v="119"/>
    <x v="48"/>
  </r>
  <r>
    <s v="Delhi Capitals"/>
    <s v="Sunrisers Hyderabad"/>
    <x v="15"/>
    <n v="2023"/>
    <d v="2023-04-24T00:00:00"/>
    <s v="Delhi Capitals"/>
    <x v="1"/>
    <x v="1"/>
    <x v="15"/>
    <x v="160"/>
    <x v="51"/>
  </r>
  <r>
    <s v="Gujarat Titans"/>
    <s v="Mumbai Indians"/>
    <x v="15"/>
    <n v="2023"/>
    <d v="2023-04-25T00:00:00"/>
    <s v="Mumbai Indians"/>
    <x v="0"/>
    <x v="0"/>
    <x v="17"/>
    <x v="271"/>
    <x v="43"/>
  </r>
  <r>
    <s v="Kolkata Knight Riders"/>
    <s v="Royal Challengers Bangalore"/>
    <x v="15"/>
    <n v="2023"/>
    <d v="2023-04-26T00:00:00"/>
    <s v="Royal Challengers Bangalore"/>
    <x v="0"/>
    <x v="0"/>
    <x v="0"/>
    <x v="230"/>
    <x v="52"/>
  </r>
  <r>
    <s v="Rajasthan Royals"/>
    <s v="Chennai Super Kings"/>
    <x v="15"/>
    <n v="2023"/>
    <d v="2023-04-27T00:00:00"/>
    <s v="Rajasthan Royals"/>
    <x v="1"/>
    <x v="1"/>
    <x v="4"/>
    <x v="258"/>
    <x v="54"/>
  </r>
  <r>
    <s v="Lucknow Super Giants"/>
    <s v="Punjab Kings"/>
    <x v="15"/>
    <n v="2023"/>
    <d v="2023-04-28T00:00:00"/>
    <s v="Punjab Kings"/>
    <x v="0"/>
    <x v="0"/>
    <x v="18"/>
    <x v="183"/>
    <x v="49"/>
  </r>
  <r>
    <s v="Sunrisers Hyderabad"/>
    <s v="Delhi Capitals"/>
    <x v="15"/>
    <n v="2023"/>
    <d v="2023-04-29T00:00:00"/>
    <s v="Sunrisers Hyderabad"/>
    <x v="1"/>
    <x v="1"/>
    <x v="11"/>
    <x v="111"/>
    <x v="44"/>
  </r>
  <r>
    <s v="Kolkata Knight Riders"/>
    <s v="Gujarat Titans"/>
    <x v="15"/>
    <n v="2023"/>
    <d v="2023-04-29T00:00:00"/>
    <s v="Gujarat Titans"/>
    <x v="0"/>
    <x v="1"/>
    <x v="17"/>
    <x v="272"/>
    <x v="48"/>
  </r>
  <r>
    <s v="Rajasthan Royals"/>
    <s v="Mumbai Indians"/>
    <x v="15"/>
    <n v="2023"/>
    <d v="2023-04-30T00:00:00"/>
    <s v="Rajasthan Royals"/>
    <x v="1"/>
    <x v="0"/>
    <x v="7"/>
    <x v="258"/>
    <x v="42"/>
  </r>
  <r>
    <s v="Chennai Super Kings"/>
    <s v="Punjab Kings"/>
    <x v="15"/>
    <n v="2023"/>
    <d v="2023-04-30T00:00:00"/>
    <s v="Chennai Super Kings"/>
    <x v="1"/>
    <x v="0"/>
    <x v="16"/>
    <x v="259"/>
    <x v="41"/>
  </r>
  <r>
    <s v="Royal Challengers Bangalore"/>
    <s v="Lucknow Super Giants"/>
    <x v="15"/>
    <n v="2023"/>
    <d v="2023-05-01T00:00:00"/>
    <s v="Royal Challengers Bangalore"/>
    <x v="1"/>
    <x v="1"/>
    <x v="3"/>
    <x v="123"/>
    <x v="50"/>
  </r>
  <r>
    <s v="Delhi Capitals"/>
    <s v="Gujarat Titans"/>
    <x v="15"/>
    <n v="2023"/>
    <d v="2023-05-02T00:00:00"/>
    <s v="Delhi Capitals"/>
    <x v="1"/>
    <x v="1"/>
    <x v="15"/>
    <x v="196"/>
    <x v="43"/>
  </r>
  <r>
    <s v="Lucknow Super Giants"/>
    <s v="Chennai Super Kings"/>
    <x v="15"/>
    <n v="2023"/>
    <d v="2023-05-03T00:00:00"/>
    <s v="Chennai Super Kings"/>
    <x v="0"/>
    <x v="0"/>
    <x v="8"/>
    <x v="115"/>
    <x v="50"/>
  </r>
  <r>
    <s v="Punjab Kings"/>
    <s v="Mumbai Indians"/>
    <x v="15"/>
    <n v="2023"/>
    <d v="2023-05-03T00:00:00"/>
    <s v="Mumbai Indians"/>
    <x v="0"/>
    <x v="1"/>
    <x v="7"/>
    <x v="210"/>
    <x v="49"/>
  </r>
  <r>
    <s v="Kolkata Knight Riders"/>
    <s v="Sunrisers Hyderabad"/>
    <x v="15"/>
    <n v="2023"/>
    <d v="2023-05-04T00:00:00"/>
    <s v="Kolkata Knight Riders"/>
    <x v="1"/>
    <x v="1"/>
    <x v="0"/>
    <x v="230"/>
    <x v="51"/>
  </r>
  <r>
    <s v="Rajasthan Royals"/>
    <s v="Gujarat Titans"/>
    <x v="15"/>
    <n v="2023"/>
    <d v="2023-05-05T00:00:00"/>
    <s v="Rajasthan Royals"/>
    <x v="1"/>
    <x v="0"/>
    <x v="17"/>
    <x v="188"/>
    <x v="54"/>
  </r>
  <r>
    <s v="Royal Challengers Bangalore"/>
    <s v="Delhi Capitals"/>
    <x v="15"/>
    <n v="2023"/>
    <d v="2023-05-06T00:00:00"/>
    <s v="Royal Challengers Bangalore"/>
    <x v="1"/>
    <x v="0"/>
    <x v="15"/>
    <x v="273"/>
    <x v="44"/>
  </r>
  <r>
    <s v="Mumbai Indians"/>
    <s v="Chennai Super Kings"/>
    <x v="15"/>
    <n v="2023"/>
    <d v="2023-05-06T00:00:00"/>
    <s v="Chennai Super Kings"/>
    <x v="0"/>
    <x v="1"/>
    <x v="1"/>
    <x v="274"/>
    <x v="41"/>
  </r>
  <r>
    <s v="Gujarat Titans"/>
    <s v="Lucknow Super Giants"/>
    <x v="15"/>
    <n v="2023"/>
    <d v="2023-05-07T00:00:00"/>
    <s v="Lucknow Super Giants"/>
    <x v="0"/>
    <x v="0"/>
    <x v="17"/>
    <x v="224"/>
    <x v="43"/>
  </r>
  <r>
    <s v="Rajasthan Royals"/>
    <s v="Sunrisers Hyderabad"/>
    <x v="15"/>
    <n v="2023"/>
    <d v="2023-05-07T00:00:00"/>
    <s v="Rajasthan Royals"/>
    <x v="1"/>
    <x v="0"/>
    <x v="11"/>
    <x v="275"/>
    <x v="54"/>
  </r>
  <r>
    <s v="Punjab Kings"/>
    <s v="Kolkata Knight Riders"/>
    <x v="15"/>
    <n v="2023"/>
    <d v="2023-05-08T00:00:00"/>
    <s v="Punjab Kings"/>
    <x v="1"/>
    <x v="0"/>
    <x v="0"/>
    <x v="165"/>
    <x v="48"/>
  </r>
  <r>
    <s v="Royal Challengers Bangalore"/>
    <s v="Mumbai Indians"/>
    <x v="15"/>
    <n v="2023"/>
    <d v="2023-05-09T00:00:00"/>
    <s v="Mumbai Indians"/>
    <x v="0"/>
    <x v="1"/>
    <x v="7"/>
    <x v="178"/>
    <x v="42"/>
  </r>
  <r>
    <s v="Chennai Super Kings"/>
    <s v="Delhi Capitals"/>
    <x v="15"/>
    <n v="2023"/>
    <d v="2023-05-10T00:00:00"/>
    <s v="Chennai Super Kings"/>
    <x v="1"/>
    <x v="1"/>
    <x v="1"/>
    <x v="120"/>
    <x v="41"/>
  </r>
  <r>
    <s v="Kolkata Knight Riders"/>
    <s v="Rajasthan Royals"/>
    <x v="15"/>
    <n v="2023"/>
    <d v="2023-05-11T00:00:00"/>
    <s v="Rajasthan Royals"/>
    <x v="0"/>
    <x v="1"/>
    <x v="4"/>
    <x v="258"/>
    <x v="48"/>
  </r>
  <r>
    <s v="Mumbai Indians"/>
    <s v="Gujarat Titans"/>
    <x v="15"/>
    <n v="2023"/>
    <d v="2023-05-12T00:00:00"/>
    <s v="Gujarat Titans"/>
    <x v="0"/>
    <x v="0"/>
    <x v="7"/>
    <x v="178"/>
    <x v="42"/>
  </r>
  <r>
    <s v="Punjab Kings"/>
    <s v="Delhi Capitals"/>
    <x v="15"/>
    <n v="2023"/>
    <d v="2023-05-13T00:00:00"/>
    <s v="Delhi Capitals"/>
    <x v="0"/>
    <x v="0"/>
    <x v="16"/>
    <x v="276"/>
    <x v="44"/>
  </r>
  <r>
    <s v="Sunrisers Hyderabad"/>
    <s v="Lucknow Super Giants"/>
    <x v="15"/>
    <n v="2023"/>
    <d v="2023-05-13T00:00:00"/>
    <s v="Sunrisers Hyderabad"/>
    <x v="1"/>
    <x v="0"/>
    <x v="18"/>
    <x v="277"/>
    <x v="51"/>
  </r>
  <r>
    <s v="Chennai Super Kings"/>
    <s v="Kolkata Knight Riders"/>
    <x v="15"/>
    <n v="2023"/>
    <d v="2023-05-14T00:00:00"/>
    <s v="Chennai Super Kings"/>
    <x v="1"/>
    <x v="0"/>
    <x v="0"/>
    <x v="256"/>
    <x v="41"/>
  </r>
  <r>
    <s v="Royal Challengers Bangalore"/>
    <s v="Rajasthan Royals"/>
    <x v="15"/>
    <n v="2023"/>
    <d v="2023-05-14T00:00:00"/>
    <s v="Royal Challengers Bangalore"/>
    <x v="1"/>
    <x v="1"/>
    <x v="3"/>
    <x v="278"/>
    <x v="54"/>
  </r>
  <r>
    <s v="Gujarat Titans"/>
    <s v="Sunrisers Hyderabad"/>
    <x v="15"/>
    <n v="2023"/>
    <d v="2023-05-15T00:00:00"/>
    <s v="Sunrisers Hyderabad"/>
    <x v="0"/>
    <x v="0"/>
    <x v="17"/>
    <x v="224"/>
    <x v="43"/>
  </r>
  <r>
    <s v="Lucknow Super Giants"/>
    <s v="Mumbai Indians"/>
    <x v="15"/>
    <n v="2023"/>
    <d v="2023-05-16T00:00:00"/>
    <s v="Mumbai Indians"/>
    <x v="0"/>
    <x v="0"/>
    <x v="18"/>
    <x v="183"/>
    <x v="50"/>
  </r>
  <r>
    <s v="Delhi Capitals"/>
    <s v="Punjab Kings"/>
    <x v="15"/>
    <n v="2023"/>
    <d v="2023-05-17T00:00:00"/>
    <s v="Punjab Kings"/>
    <x v="0"/>
    <x v="0"/>
    <x v="15"/>
    <x v="279"/>
    <x v="55"/>
  </r>
  <r>
    <s v="Sunrisers Hyderabad"/>
    <s v="Royal Challengers Bangalore"/>
    <x v="15"/>
    <n v="2023"/>
    <d v="2023-05-18T00:00:00"/>
    <s v="Royal Challengers Bangalore"/>
    <x v="0"/>
    <x v="1"/>
    <x v="3"/>
    <x v="104"/>
    <x v="51"/>
  </r>
  <r>
    <s v="Punjab Kings"/>
    <s v="Rajasthan Royals"/>
    <x v="15"/>
    <n v="2023"/>
    <d v="2023-05-19T00:00:00"/>
    <s v="Rajasthan Royals"/>
    <x v="0"/>
    <x v="1"/>
    <x v="4"/>
    <x v="236"/>
    <x v="55"/>
  </r>
  <r>
    <s v="Chennai Super Kings"/>
    <s v="Delhi Capitals"/>
    <x v="15"/>
    <n v="2023"/>
    <d v="2023-05-20T00:00:00"/>
    <s v="Chennai Super Kings"/>
    <x v="1"/>
    <x v="1"/>
    <x v="1"/>
    <x v="232"/>
    <x v="44"/>
  </r>
  <r>
    <s v="Lucknow Super Giants"/>
    <s v="Kolkata Knight Riders"/>
    <x v="15"/>
    <n v="2023"/>
    <d v="2023-05-20T00:00:00"/>
    <s v="Kolkata Knight Riders"/>
    <x v="0"/>
    <x v="0"/>
    <x v="18"/>
    <x v="267"/>
    <x v="48"/>
  </r>
  <r>
    <s v="Royal Challengers Bangalore"/>
    <s v="Gujarat Titans"/>
    <x v="15"/>
    <n v="2023"/>
    <d v="2023-05-21T00:00:00"/>
    <s v="Gujarat Titans"/>
    <x v="0"/>
    <x v="1"/>
    <x v="17"/>
    <x v="224"/>
    <x v="52"/>
  </r>
  <r>
    <s v="Sunrisers Hyderabad"/>
    <s v="Mumbai Indians"/>
    <x v="15"/>
    <n v="2023"/>
    <d v="2023-05-21T00:00:00"/>
    <s v="Mumbai Indians"/>
    <x v="0"/>
    <x v="1"/>
    <x v="7"/>
    <x v="270"/>
    <x v="42"/>
  </r>
  <r>
    <s v="Chennai Super Kings"/>
    <s v="Gujarat Titans"/>
    <x v="15"/>
    <n v="2023"/>
    <d v="2023-05-23T00:00:00"/>
    <s v="Gujarat Titans"/>
    <x v="0"/>
    <x v="0"/>
    <x v="1"/>
    <x v="232"/>
    <x v="41"/>
  </r>
  <r>
    <s v="Mumbai Indians"/>
    <s v="Lucknow Super Giants"/>
    <x v="15"/>
    <n v="2023"/>
    <d v="2023-05-24T00:00:00"/>
    <s v="Mumbai Indians"/>
    <x v="1"/>
    <x v="1"/>
    <x v="7"/>
    <x v="280"/>
    <x v="41"/>
  </r>
  <r>
    <s v="Gujarat Titans"/>
    <s v="Mumbai Indians"/>
    <x v="15"/>
    <n v="2023"/>
    <d v="2023-05-26T00:00:00"/>
    <s v="Mumbai Indians"/>
    <x v="0"/>
    <x v="0"/>
    <x v="17"/>
    <x v="224"/>
    <x v="43"/>
  </r>
  <r>
    <s v="Gujarat Titans"/>
    <s v="Chennai Super Kings"/>
    <x v="15"/>
    <n v="2023"/>
    <d v="2023-05-29T00:00:00"/>
    <s v="Chennai Super Kings"/>
    <x v="0"/>
    <x v="1"/>
    <x v="1"/>
    <x v="259"/>
    <x v="43"/>
  </r>
  <r>
    <s v="Royal Challengers Bengaluru"/>
    <s v="Chennai Super Kings"/>
    <x v="16"/>
    <n v="2024"/>
    <d v="2024-03-22T00:00:00"/>
    <s v="Royal Challengers Bengaluru"/>
    <x v="1"/>
    <x v="0"/>
    <x v="1"/>
    <x v="177"/>
    <x v="41"/>
  </r>
  <r>
    <s v="Kolkata Knight Riders"/>
    <s v="Sunrisers Hyderabad"/>
    <x v="16"/>
    <n v="2024"/>
    <d v="2024-03-23T00:00:00"/>
    <s v="Sunrisers Hyderabad"/>
    <x v="0"/>
    <x v="0"/>
    <x v="0"/>
    <x v="165"/>
    <x v="48"/>
  </r>
  <r>
    <s v="Delhi Capitals"/>
    <s v="Punjab Kings"/>
    <x v="16"/>
    <n v="2024"/>
    <d v="2024-03-23T00:00:00"/>
    <s v="Punjab Kings"/>
    <x v="0"/>
    <x v="1"/>
    <x v="16"/>
    <x v="216"/>
    <x v="56"/>
  </r>
  <r>
    <s v="Rajasthan Royals"/>
    <s v="Lucknow Super Giants"/>
    <x v="16"/>
    <n v="2024"/>
    <d v="2024-03-24T00:00:00"/>
    <s v="Rajasthan Royals"/>
    <x v="1"/>
    <x v="1"/>
    <x v="4"/>
    <x v="144"/>
    <x v="54"/>
  </r>
  <r>
    <s v="Gujarat Titans"/>
    <s v="Mumbai Indians"/>
    <x v="16"/>
    <n v="2024"/>
    <d v="2024-03-24T00:00:00"/>
    <s v="Mumbai Indians"/>
    <x v="0"/>
    <x v="0"/>
    <x v="17"/>
    <x v="265"/>
    <x v="43"/>
  </r>
  <r>
    <s v="Punjab Kings"/>
    <s v="Royal Challengers Bengaluru"/>
    <x v="16"/>
    <n v="2024"/>
    <d v="2024-03-25T00:00:00"/>
    <s v="Royal Challengers Bengaluru"/>
    <x v="0"/>
    <x v="1"/>
    <x v="19"/>
    <x v="104"/>
    <x v="52"/>
  </r>
  <r>
    <s v="Chennai Super Kings"/>
    <s v="Gujarat Titans"/>
    <x v="16"/>
    <n v="2024"/>
    <d v="2024-03-26T00:00:00"/>
    <s v="Gujarat Titans"/>
    <x v="0"/>
    <x v="0"/>
    <x v="1"/>
    <x v="250"/>
    <x v="41"/>
  </r>
  <r>
    <s v="Sunrisers Hyderabad"/>
    <s v="Mumbai Indians"/>
    <x v="16"/>
    <n v="2024"/>
    <d v="2024-03-27T00:00:00"/>
    <s v="Mumbai Indians"/>
    <x v="0"/>
    <x v="0"/>
    <x v="11"/>
    <x v="248"/>
    <x v="51"/>
  </r>
  <r>
    <s v="Rajasthan Royals"/>
    <s v="Delhi Capitals"/>
    <x v="16"/>
    <n v="2024"/>
    <d v="2024-03-28T00:00:00"/>
    <s v="Delhi Capitals"/>
    <x v="0"/>
    <x v="0"/>
    <x v="4"/>
    <x v="254"/>
    <x v="54"/>
  </r>
  <r>
    <s v="Royal Challengers Bengaluru"/>
    <s v="Kolkata Knight Riders"/>
    <x v="16"/>
    <n v="2024"/>
    <d v="2024-03-29T00:00:00"/>
    <s v="Kolkata Knight Riders"/>
    <x v="0"/>
    <x v="1"/>
    <x v="0"/>
    <x v="127"/>
    <x v="52"/>
  </r>
  <r>
    <s v="Lucknow Super Giants"/>
    <s v="Punjab Kings"/>
    <x v="16"/>
    <n v="2024"/>
    <d v="2024-03-30T00:00:00"/>
    <s v="Lucknow Super Giants"/>
    <x v="1"/>
    <x v="1"/>
    <x v="18"/>
    <x v="281"/>
    <x v="50"/>
  </r>
  <r>
    <s v="Sunrisers Hyderabad"/>
    <s v="Gujarat Titans"/>
    <x v="16"/>
    <n v="2024"/>
    <d v="2024-03-31T00:00:00"/>
    <s v="Sunrisers Hyderabad"/>
    <x v="1"/>
    <x v="0"/>
    <x v="17"/>
    <x v="154"/>
    <x v="43"/>
  </r>
  <r>
    <s v="Delhi Capitals"/>
    <s v="Chennai Super Kings"/>
    <x v="16"/>
    <n v="2024"/>
    <d v="2024-03-31T00:00:00"/>
    <s v="Delhi Capitals"/>
    <x v="1"/>
    <x v="1"/>
    <x v="15"/>
    <x v="223"/>
    <x v="57"/>
  </r>
  <r>
    <s v="Mumbai Indians"/>
    <s v="Rajasthan Royals"/>
    <x v="16"/>
    <n v="2024"/>
    <d v="2024-04-01T00:00:00"/>
    <s v="Rajasthan Royals"/>
    <x v="0"/>
    <x v="1"/>
    <x v="4"/>
    <x v="169"/>
    <x v="42"/>
  </r>
  <r>
    <s v="Lucknow Super Giants"/>
    <s v="Royal Challengers Bengaluru"/>
    <x v="16"/>
    <n v="2024"/>
    <d v="2024-04-02T00:00:00"/>
    <s v="Royal Challengers Bengaluru"/>
    <x v="0"/>
    <x v="0"/>
    <x v="18"/>
    <x v="281"/>
    <x v="52"/>
  </r>
  <r>
    <s v="Kolkata Knight Riders"/>
    <s v="Delhi Capitals"/>
    <x v="16"/>
    <n v="2024"/>
    <d v="2024-04-03T00:00:00"/>
    <s v="Kolkata Knight Riders"/>
    <x v="1"/>
    <x v="1"/>
    <x v="0"/>
    <x v="127"/>
    <x v="57"/>
  </r>
  <r>
    <s v="Gujarat Titans"/>
    <s v="Punjab Kings"/>
    <x v="16"/>
    <n v="2024"/>
    <d v="2024-04-04T00:00:00"/>
    <s v="Punjab Kings"/>
    <x v="0"/>
    <x v="1"/>
    <x v="16"/>
    <x v="282"/>
    <x v="43"/>
  </r>
  <r>
    <s v="Chennai Super Kings"/>
    <s v="Sunrisers Hyderabad"/>
    <x v="16"/>
    <n v="2024"/>
    <d v="2024-04-05T00:00:00"/>
    <s v="Sunrisers Hyderabad"/>
    <x v="0"/>
    <x v="1"/>
    <x v="11"/>
    <x v="248"/>
    <x v="51"/>
  </r>
  <r>
    <s v="Royal Challengers Bengaluru"/>
    <s v="Rajasthan Royals"/>
    <x v="16"/>
    <n v="2024"/>
    <d v="2024-04-06T00:00:00"/>
    <s v="Rajasthan Royals"/>
    <x v="0"/>
    <x v="1"/>
    <x v="4"/>
    <x v="194"/>
    <x v="54"/>
  </r>
  <r>
    <s v="Lucknow Super Giants"/>
    <s v="Gujarat Titans"/>
    <x v="16"/>
    <n v="2024"/>
    <d v="2024-04-07T00:00:00"/>
    <s v="Lucknow Super Giants"/>
    <x v="1"/>
    <x v="1"/>
    <x v="18"/>
    <x v="283"/>
    <x v="50"/>
  </r>
  <r>
    <s v="Mumbai Indians"/>
    <s v="Delhi Capitals"/>
    <x v="16"/>
    <n v="2024"/>
    <d v="2024-04-07T00:00:00"/>
    <s v="Delhi Capitals"/>
    <x v="0"/>
    <x v="0"/>
    <x v="7"/>
    <x v="284"/>
    <x v="42"/>
  </r>
  <r>
    <s v="Kolkata Knight Riders"/>
    <s v="Chennai Super Kings"/>
    <x v="16"/>
    <n v="2024"/>
    <d v="2024-04-08T00:00:00"/>
    <s v="Chennai Super Kings"/>
    <x v="0"/>
    <x v="1"/>
    <x v="1"/>
    <x v="120"/>
    <x v="41"/>
  </r>
  <r>
    <s v="Sunrisers Hyderabad"/>
    <s v="Punjab Kings"/>
    <x v="16"/>
    <n v="2024"/>
    <d v="2024-04-09T00:00:00"/>
    <s v="Punjab Kings"/>
    <x v="0"/>
    <x v="0"/>
    <x v="11"/>
    <x v="285"/>
    <x v="56"/>
  </r>
  <r>
    <s v="Rajasthan Royals"/>
    <s v="Gujarat Titans"/>
    <x v="16"/>
    <n v="2024"/>
    <d v="2024-04-10T00:00:00"/>
    <s v="Gujarat Titans"/>
    <x v="0"/>
    <x v="1"/>
    <x v="17"/>
    <x v="188"/>
    <x v="54"/>
  </r>
  <r>
    <s v="Royal Challengers Bengaluru"/>
    <s v="Mumbai Indians"/>
    <x v="16"/>
    <n v="2024"/>
    <d v="2024-04-11T00:00:00"/>
    <s v="Mumbai Indians"/>
    <x v="0"/>
    <x v="1"/>
    <x v="7"/>
    <x v="190"/>
    <x v="42"/>
  </r>
  <r>
    <s v="Lucknow Super Giants"/>
    <s v="Delhi Capitals"/>
    <x v="16"/>
    <n v="2024"/>
    <d v="2024-04-12T00:00:00"/>
    <s v="Lucknow Super Giants"/>
    <x v="1"/>
    <x v="0"/>
    <x v="15"/>
    <x v="211"/>
    <x v="50"/>
  </r>
  <r>
    <s v="Punjab Kings"/>
    <s v="Rajasthan Royals"/>
    <x v="16"/>
    <n v="2024"/>
    <d v="2024-04-13T00:00:00"/>
    <s v="Rajasthan Royals"/>
    <x v="0"/>
    <x v="1"/>
    <x v="4"/>
    <x v="225"/>
    <x v="56"/>
  </r>
  <r>
    <s v="Chennai Super Kings"/>
    <s v="Mumbai Indians"/>
    <x v="16"/>
    <n v="2024"/>
    <d v="2024-04-14T00:00:00"/>
    <s v="Mumbai Indians"/>
    <x v="0"/>
    <x v="0"/>
    <x v="1"/>
    <x v="274"/>
    <x v="42"/>
  </r>
  <r>
    <s v="Lucknow Super Giants"/>
    <s v="Kolkata Knight Riders"/>
    <x v="16"/>
    <n v="2024"/>
    <d v="2024-04-14T00:00:00"/>
    <s v="Kolkata Knight Riders"/>
    <x v="0"/>
    <x v="1"/>
    <x v="0"/>
    <x v="273"/>
    <x v="48"/>
  </r>
  <r>
    <s v="Sunrisers Hyderabad"/>
    <s v="Royal Challengers Bengaluru"/>
    <x v="16"/>
    <n v="2024"/>
    <d v="2024-04-15T00:00:00"/>
    <s v="Royal Challengers Bengaluru"/>
    <x v="0"/>
    <x v="0"/>
    <x v="11"/>
    <x v="286"/>
    <x v="52"/>
  </r>
  <r>
    <s v="Kolkata Knight Riders"/>
    <s v="Rajasthan Royals"/>
    <x v="16"/>
    <n v="2024"/>
    <d v="2024-04-16T00:00:00"/>
    <s v="Rajasthan Royals"/>
    <x v="0"/>
    <x v="1"/>
    <x v="4"/>
    <x v="194"/>
    <x v="48"/>
  </r>
  <r>
    <s v="Gujarat Titans"/>
    <s v="Delhi Capitals"/>
    <x v="16"/>
    <n v="2024"/>
    <d v="2024-04-17T00:00:00"/>
    <s v="Delhi Capitals"/>
    <x v="0"/>
    <x v="1"/>
    <x v="15"/>
    <x v="182"/>
    <x v="43"/>
  </r>
  <r>
    <s v="Mumbai Indians"/>
    <s v="Punjab Kings"/>
    <x v="16"/>
    <n v="2024"/>
    <d v="2024-04-18T00:00:00"/>
    <s v="Punjab Kings"/>
    <x v="0"/>
    <x v="0"/>
    <x v="7"/>
    <x v="190"/>
    <x v="56"/>
  </r>
  <r>
    <s v="Chennai Super Kings"/>
    <s v="Lucknow Super Giants"/>
    <x v="16"/>
    <n v="2024"/>
    <d v="2024-04-19T00:00:00"/>
    <s v="Lucknow Super Giants"/>
    <x v="0"/>
    <x v="1"/>
    <x v="18"/>
    <x v="202"/>
    <x v="50"/>
  </r>
  <r>
    <s v="Sunrisers Hyderabad"/>
    <s v="Delhi Capitals"/>
    <x v="16"/>
    <n v="2024"/>
    <d v="2024-04-20T00:00:00"/>
    <s v="Delhi Capitals"/>
    <x v="0"/>
    <x v="0"/>
    <x v="11"/>
    <x v="286"/>
    <x v="44"/>
  </r>
  <r>
    <s v="Kolkata Knight Riders"/>
    <s v="Royal Challengers Bengaluru"/>
    <x v="16"/>
    <n v="2024"/>
    <d v="2024-04-21T00:00:00"/>
    <s v="Royal Challengers Bengaluru"/>
    <x v="0"/>
    <x v="0"/>
    <x v="0"/>
    <x v="165"/>
    <x v="48"/>
  </r>
  <r>
    <s v="Punjab Kings"/>
    <s v="Gujarat Titans"/>
    <x v="16"/>
    <n v="2024"/>
    <d v="2024-04-21T00:00:00"/>
    <s v="Punjab Kings"/>
    <x v="1"/>
    <x v="0"/>
    <x v="17"/>
    <x v="287"/>
    <x v="56"/>
  </r>
  <r>
    <s v="Mumbai Indians"/>
    <s v="Rajasthan Royals"/>
    <x v="16"/>
    <n v="2024"/>
    <d v="2024-04-22T00:00:00"/>
    <s v="Mumbai Indians"/>
    <x v="1"/>
    <x v="0"/>
    <x v="4"/>
    <x v="156"/>
    <x v="54"/>
  </r>
  <r>
    <s v="Chennai Super Kings"/>
    <s v="Lucknow Super Giants"/>
    <x v="16"/>
    <n v="2024"/>
    <d v="2024-04-23T00:00:00"/>
    <s v="Lucknow Super Giants"/>
    <x v="0"/>
    <x v="1"/>
    <x v="18"/>
    <x v="183"/>
    <x v="41"/>
  </r>
  <r>
    <s v="Delhi Capitals"/>
    <s v="Gujarat Titans"/>
    <x v="16"/>
    <n v="2024"/>
    <d v="2024-04-24T00:00:00"/>
    <s v="Gujarat Titans"/>
    <x v="0"/>
    <x v="0"/>
    <x v="15"/>
    <x v="182"/>
    <x v="44"/>
  </r>
  <r>
    <s v="Royal Challengers Bengaluru"/>
    <s v="Sunrisers Hyderabad"/>
    <x v="16"/>
    <n v="2024"/>
    <d v="2024-04-25T00:00:00"/>
    <s v="Royal Challengers Bengaluru"/>
    <x v="1"/>
    <x v="1"/>
    <x v="19"/>
    <x v="262"/>
    <x v="51"/>
  </r>
  <r>
    <s v="Kolkata Knight Riders"/>
    <s v="Punjab Kings"/>
    <x v="16"/>
    <n v="2024"/>
    <d v="2024-04-26T00:00:00"/>
    <s v="Punjab Kings"/>
    <x v="0"/>
    <x v="1"/>
    <x v="16"/>
    <x v="215"/>
    <x v="48"/>
  </r>
  <r>
    <s v="Lucknow Super Giants"/>
    <s v="Rajasthan Royals"/>
    <x v="16"/>
    <n v="2024"/>
    <d v="2024-04-27T00:00:00"/>
    <s v="Rajasthan Royals"/>
    <x v="0"/>
    <x v="1"/>
    <x v="4"/>
    <x v="144"/>
    <x v="50"/>
  </r>
  <r>
    <s v="Delhi Capitals"/>
    <s v="Mumbai Indians"/>
    <x v="16"/>
    <n v="2024"/>
    <d v="2024-04-27T00:00:00"/>
    <s v="Mumbai Indians"/>
    <x v="0"/>
    <x v="0"/>
    <x v="15"/>
    <x v="288"/>
    <x v="44"/>
  </r>
  <r>
    <s v="Chennai Super Kings"/>
    <s v="Sunrisers Hyderabad"/>
    <x v="16"/>
    <n v="2024"/>
    <d v="2024-04-28T00:00:00"/>
    <s v="Sunrisers Hyderabad"/>
    <x v="0"/>
    <x v="0"/>
    <x v="1"/>
    <x v="232"/>
    <x v="41"/>
  </r>
  <r>
    <s v="Gujarat Titans"/>
    <s v="Royal Challengers Bengaluru"/>
    <x v="16"/>
    <n v="2024"/>
    <d v="2024-04-28T00:00:00"/>
    <s v="Royal Challengers Bengaluru"/>
    <x v="0"/>
    <x v="1"/>
    <x v="19"/>
    <x v="289"/>
    <x v="43"/>
  </r>
  <r>
    <s v="Delhi Capitals"/>
    <s v="Kolkata Knight Riders"/>
    <x v="16"/>
    <n v="2024"/>
    <d v="2024-04-29T00:00:00"/>
    <s v="Delhi Capitals"/>
    <x v="1"/>
    <x v="0"/>
    <x v="0"/>
    <x v="230"/>
    <x v="48"/>
  </r>
  <r>
    <s v="Mumbai Indians"/>
    <s v="Lucknow Super Giants"/>
    <x v="16"/>
    <n v="2024"/>
    <d v="2024-04-30T00:00:00"/>
    <s v="Lucknow Super Giants"/>
    <x v="0"/>
    <x v="1"/>
    <x v="18"/>
    <x v="183"/>
    <x v="50"/>
  </r>
  <r>
    <s v="Chennai Super Kings"/>
    <s v="Punjab Kings"/>
    <x v="16"/>
    <n v="2024"/>
    <d v="2024-05-01T00:00:00"/>
    <s v="Punjab Kings"/>
    <x v="0"/>
    <x v="1"/>
    <x v="16"/>
    <x v="237"/>
    <x v="41"/>
  </r>
  <r>
    <s v="Sunrisers Hyderabad"/>
    <s v="Rajasthan Royals"/>
    <x v="16"/>
    <n v="2024"/>
    <d v="2024-05-02T00:00:00"/>
    <s v="Sunrisers Hyderabad"/>
    <x v="1"/>
    <x v="1"/>
    <x v="11"/>
    <x v="157"/>
    <x v="51"/>
  </r>
  <r>
    <s v="Kolkata Knight Riders"/>
    <s v="Mumbai Indians"/>
    <x v="16"/>
    <n v="2024"/>
    <d v="2024-05-03T00:00:00"/>
    <s v="Mumbai Indians"/>
    <x v="0"/>
    <x v="0"/>
    <x v="0"/>
    <x v="242"/>
    <x v="42"/>
  </r>
  <r>
    <s v="Gujarat Titans"/>
    <s v="Royal Challengers Bengaluru"/>
    <x v="16"/>
    <n v="2024"/>
    <d v="2024-05-04T00:00:00"/>
    <s v="Royal Challengers Bengaluru"/>
    <x v="0"/>
    <x v="1"/>
    <x v="19"/>
    <x v="198"/>
    <x v="52"/>
  </r>
  <r>
    <s v="Kolkata Knight Riders"/>
    <s v="Lucknow Super Giants"/>
    <x v="16"/>
    <n v="2024"/>
    <d v="2024-05-05T00:00:00"/>
    <s v="Lucknow Super Giants"/>
    <x v="0"/>
    <x v="0"/>
    <x v="0"/>
    <x v="127"/>
    <x v="50"/>
  </r>
  <r>
    <s v="Chennai Super Kings"/>
    <s v="Punjab Kings"/>
    <x v="16"/>
    <n v="2024"/>
    <d v="2024-05-05T00:00:00"/>
    <s v="Punjab Kings"/>
    <x v="0"/>
    <x v="0"/>
    <x v="1"/>
    <x v="120"/>
    <x v="55"/>
  </r>
  <r>
    <s v="Sunrisers Hyderabad"/>
    <s v="Mumbai Indians"/>
    <x v="16"/>
    <n v="2024"/>
    <d v="2024-05-06T00:00:00"/>
    <s v="Mumbai Indians"/>
    <x v="0"/>
    <x v="1"/>
    <x v="7"/>
    <x v="178"/>
    <x v="42"/>
  </r>
  <r>
    <s v="Delhi Capitals"/>
    <s v="Rajasthan Royals"/>
    <x v="16"/>
    <n v="2024"/>
    <d v="2024-05-07T00:00:00"/>
    <s v="Rajasthan Royals"/>
    <x v="0"/>
    <x v="0"/>
    <x v="15"/>
    <x v="211"/>
    <x v="44"/>
  </r>
  <r>
    <s v="Lucknow Super Giants"/>
    <s v="Sunrisers Hyderabad"/>
    <x v="16"/>
    <n v="2024"/>
    <d v="2024-05-08T00:00:00"/>
    <s v="Lucknow Super Giants"/>
    <x v="1"/>
    <x v="0"/>
    <x v="11"/>
    <x v="286"/>
    <x v="51"/>
  </r>
  <r>
    <s v="Royal Challengers Bengaluru"/>
    <s v="Punjab Kings"/>
    <x v="16"/>
    <n v="2024"/>
    <d v="2024-05-09T00:00:00"/>
    <s v="Punjab Kings"/>
    <x v="0"/>
    <x v="0"/>
    <x v="19"/>
    <x v="104"/>
    <x v="55"/>
  </r>
  <r>
    <s v="Gujarat Titans"/>
    <s v="Chennai Super Kings"/>
    <x v="16"/>
    <n v="2024"/>
    <d v="2024-05-10T00:00:00"/>
    <s v="Chennai Super Kings"/>
    <x v="0"/>
    <x v="0"/>
    <x v="17"/>
    <x v="224"/>
    <x v="43"/>
  </r>
  <r>
    <s v="Kolkata Knight Riders"/>
    <s v="Mumbai Indians"/>
    <x v="16"/>
    <n v="2024"/>
    <d v="2024-05-11T00:00:00"/>
    <s v="Mumbai Indians"/>
    <x v="0"/>
    <x v="0"/>
    <x v="0"/>
    <x v="230"/>
    <x v="48"/>
  </r>
  <r>
    <s v="Royal Challengers Bengaluru"/>
    <s v="Delhi Capitals"/>
    <x v="16"/>
    <n v="2024"/>
    <d v="2024-05-12T00:00:00"/>
    <s v="Delhi Capitals"/>
    <x v="0"/>
    <x v="0"/>
    <x v="19"/>
    <x v="270"/>
    <x v="52"/>
  </r>
  <r>
    <s v="Rajasthan Royals"/>
    <s v="Chennai Super Kings"/>
    <x v="16"/>
    <n v="2024"/>
    <d v="2024-05-12T00:00:00"/>
    <s v="Rajasthan Royals"/>
    <x v="1"/>
    <x v="0"/>
    <x v="1"/>
    <x v="290"/>
    <x v="41"/>
  </r>
  <r>
    <s v="Delhi Capitals"/>
    <s v="Lucknow Super Giants"/>
    <x v="16"/>
    <n v="2024"/>
    <d v="2024-05-14T00:00:00"/>
    <s v="Lucknow Super Giants"/>
    <x v="0"/>
    <x v="0"/>
    <x v="15"/>
    <x v="105"/>
    <x v="44"/>
  </r>
  <r>
    <s v="Rajasthan Royals"/>
    <s v="Punjab Kings"/>
    <x v="16"/>
    <n v="2024"/>
    <d v="2024-05-15T00:00:00"/>
    <s v="Rajasthan Royals"/>
    <x v="1"/>
    <x v="0"/>
    <x v="16"/>
    <x v="216"/>
    <x v="53"/>
  </r>
  <r>
    <s v="Lucknow Super Giants"/>
    <s v="Mumbai Indians"/>
    <x v="16"/>
    <n v="2024"/>
    <d v="2024-05-17T00:00:00"/>
    <s v="Mumbai Indians"/>
    <x v="0"/>
    <x v="0"/>
    <x v="18"/>
    <x v="267"/>
    <x v="42"/>
  </r>
  <r>
    <s v="Royal Challengers Bengaluru"/>
    <s v="Chennai Super Kings"/>
    <x v="16"/>
    <n v="2024"/>
    <d v="2024-05-18T00:00:00"/>
    <s v="Chennai Super Kings"/>
    <x v="0"/>
    <x v="0"/>
    <x v="19"/>
    <x v="123"/>
    <x v="52"/>
  </r>
  <r>
    <s v="Punjab Kings"/>
    <s v="Sunrisers Hyderabad"/>
    <x v="16"/>
    <n v="2024"/>
    <d v="2024-05-19T00:00:00"/>
    <s v="Punjab Kings"/>
    <x v="1"/>
    <x v="0"/>
    <x v="11"/>
    <x v="248"/>
    <x v="51"/>
  </r>
  <r>
    <s v="Sunrisers Hyderabad"/>
    <s v="Kolkata Knight Riders"/>
    <x v="16"/>
    <n v="2024"/>
    <d v="2024-05-21T00:00:00"/>
    <s v="Sunrisers Hyderabad"/>
    <x v="1"/>
    <x v="0"/>
    <x v="0"/>
    <x v="167"/>
    <x v="43"/>
  </r>
  <r>
    <s v="Royal Challengers Bengaluru"/>
    <s v="Rajasthan Royals"/>
    <x v="16"/>
    <n v="2024"/>
    <d v="2024-05-22T00:00:00"/>
    <s v="Rajasthan Royals"/>
    <x v="0"/>
    <x v="1"/>
    <x v="4"/>
    <x v="90"/>
    <x v="43"/>
  </r>
  <r>
    <s v="Sunrisers Hyderabad"/>
    <s v="Rajasthan Royals"/>
    <x v="16"/>
    <n v="2024"/>
    <d v="2024-05-24T00:00:00"/>
    <s v="Rajasthan Royals"/>
    <x v="0"/>
    <x v="0"/>
    <x v="11"/>
    <x v="291"/>
    <x v="41"/>
  </r>
  <r>
    <s v="Sunrisers Hyderabad"/>
    <s v="Kolkata Knight Riders"/>
    <x v="16"/>
    <n v="2024"/>
    <d v="2024-05-26T00:00:00"/>
    <s v="Sunrisers Hyderabad"/>
    <x v="1"/>
    <x v="0"/>
    <x v="0"/>
    <x v="167"/>
    <x v="41"/>
  </r>
  <r>
    <s v="Kolkata Knight Riders"/>
    <s v="Royal Challengers Bengaluru"/>
    <x v="17"/>
    <n v="2025"/>
    <d v="2025-03-22T00:00:00"/>
    <s v="Royal Challengers Bengaluru"/>
    <x v="0"/>
    <x v="1"/>
    <x v="19"/>
    <x v="185"/>
    <x v="48"/>
  </r>
  <r>
    <s v="Mumbai Indians"/>
    <s v="Chennai Super Kings"/>
    <x v="17"/>
    <n v="2025"/>
    <d v="2025-03-23T00:00:00"/>
    <s v="Chennai Super Kings"/>
    <x v="0"/>
    <x v="1"/>
    <x v="1"/>
    <x v="292"/>
    <x v="41"/>
  </r>
  <r>
    <s v="Sunrisers Hyderabad"/>
    <s v="Rajasthan Royals"/>
    <x v="17"/>
    <n v="2025"/>
    <d v="2025-03-23T00:00:00"/>
    <s v="Rajasthan Royals"/>
    <x v="0"/>
    <x v="0"/>
    <x v="11"/>
    <x v="210"/>
    <x v="51"/>
  </r>
  <r>
    <s v="Lucknow Super Giants"/>
    <s v="Delhi Capitals"/>
    <x v="17"/>
    <n v="2025"/>
    <d v="2025-03-24T00:00:00"/>
    <s v="Delhi Capitals"/>
    <x v="0"/>
    <x v="1"/>
    <x v="15"/>
    <x v="293"/>
    <x v="57"/>
  </r>
  <r>
    <s v="Punjab Kings"/>
    <s v="Gujarat Titans"/>
    <x v="17"/>
    <n v="2025"/>
    <d v="2025-03-25T00:00:00"/>
    <s v="Gujarat Titans"/>
    <x v="0"/>
    <x v="0"/>
    <x v="16"/>
    <x v="166"/>
    <x v="43"/>
  </r>
  <r>
    <s v="Rajasthan Royals"/>
    <s v="Kolkata Knight Riders"/>
    <x v="17"/>
    <n v="2025"/>
    <d v="2025-03-26T00:00:00"/>
    <s v="Kolkata Knight Riders"/>
    <x v="0"/>
    <x v="1"/>
    <x v="0"/>
    <x v="176"/>
    <x v="53"/>
  </r>
  <r>
    <s v="Sunrisers Hyderabad"/>
    <s v="Lucknow Super Giants"/>
    <x v="17"/>
    <n v="2025"/>
    <d v="2025-03-27T00:00:00"/>
    <s v="Lucknow Super Giants"/>
    <x v="0"/>
    <x v="1"/>
    <x v="18"/>
    <x v="261"/>
    <x v="51"/>
  </r>
  <r>
    <s v="Royal Challengers Bengaluru"/>
    <s v="Chennai Super Kings"/>
    <x v="17"/>
    <n v="2025"/>
    <d v="2025-03-28T00:00:00"/>
    <s v="Chennai Super Kings"/>
    <x v="0"/>
    <x v="0"/>
    <x v="19"/>
    <x v="262"/>
    <x v="41"/>
  </r>
  <r>
    <s v="Gujarat Titans"/>
    <s v="Mumbai Indians"/>
    <x v="17"/>
    <n v="2025"/>
    <d v="2025-03-29T00:00:00"/>
    <s v="Mumbai Indians"/>
    <x v="0"/>
    <x v="0"/>
    <x v="17"/>
    <x v="294"/>
    <x v="43"/>
  </r>
  <r>
    <s v="Sunrisers Hyderabad"/>
    <s v="Delhi Capitals"/>
    <x v="17"/>
    <n v="2025"/>
    <d v="2025-03-30T00:00:00"/>
    <s v="Sunrisers Hyderabad"/>
    <x v="1"/>
    <x v="0"/>
    <x v="15"/>
    <x v="167"/>
    <x v="57"/>
  </r>
  <r>
    <s v="Rajasthan Royals"/>
    <s v="Chennai Super Kings"/>
    <x v="17"/>
    <n v="2025"/>
    <d v="2025-03-30T00:00:00"/>
    <s v="Chennai Super Kings"/>
    <x v="0"/>
    <x v="0"/>
    <x v="4"/>
    <x v="189"/>
    <x v="53"/>
  </r>
  <r>
    <s v="Kolkata Knight Riders"/>
    <s v="Mumbai Indians"/>
    <x v="17"/>
    <n v="2025"/>
    <d v="2025-03-31T00:00:00"/>
    <s v="Mumbai Indians"/>
    <x v="0"/>
    <x v="1"/>
    <x v="7"/>
    <x v="295"/>
    <x v="42"/>
  </r>
  <r>
    <s v="Lucknow Super Giants"/>
    <s v="Punjab Kings"/>
    <x v="17"/>
    <n v="2025"/>
    <d v="2025-04-01T00:00:00"/>
    <s v="Punjab Kings"/>
    <x v="0"/>
    <x v="1"/>
    <x v="16"/>
    <x v="276"/>
    <x v="50"/>
  </r>
  <r>
    <s v="Royal Challengers Bengaluru"/>
    <s v="Gujarat Titans"/>
    <x v="17"/>
    <n v="2025"/>
    <d v="2025-04-02T00:00:00"/>
    <s v="Gujarat Titans"/>
    <x v="0"/>
    <x v="1"/>
    <x v="17"/>
    <x v="198"/>
    <x v="52"/>
  </r>
  <r>
    <s v="Kolkata Knight Riders"/>
    <s v="Sunrisers Hyderabad"/>
    <x v="17"/>
    <n v="2025"/>
    <d v="2025-04-03T00:00:00"/>
    <s v="Sunrisers Hyderabad"/>
    <x v="0"/>
    <x v="0"/>
    <x v="0"/>
    <x v="296"/>
    <x v="48"/>
  </r>
  <r>
    <s v="Lucknow Super Giants"/>
    <s v="Mumbai Indians"/>
    <x v="17"/>
    <n v="2025"/>
    <d v="2025-04-04T00:00:00"/>
    <s v="Mumbai Indians"/>
    <x v="0"/>
    <x v="0"/>
    <x v="18"/>
    <x v="297"/>
    <x v="50"/>
  </r>
  <r>
    <s v="Rajasthan Royals"/>
    <s v="Punjab Kings"/>
    <x v="17"/>
    <n v="2025"/>
    <d v="2025-04-05T00:00:00"/>
    <s v="Punjab Kings"/>
    <x v="0"/>
    <x v="0"/>
    <x v="4"/>
    <x v="206"/>
    <x v="56"/>
  </r>
  <r>
    <s v="Delhi Capitals"/>
    <s v="Chennai Super Kings"/>
    <x v="17"/>
    <n v="2025"/>
    <d v="2025-04-05T00:00:00"/>
    <s v="Delhi Capitals"/>
    <x v="1"/>
    <x v="1"/>
    <x v="15"/>
    <x v="202"/>
    <x v="41"/>
  </r>
  <r>
    <s v="Sunrisers Hyderabad"/>
    <s v="Gujarat Titans"/>
    <x v="17"/>
    <n v="2025"/>
    <d v="2025-04-06T00:00:00"/>
    <s v="Gujarat Titans"/>
    <x v="0"/>
    <x v="1"/>
    <x v="17"/>
    <x v="198"/>
    <x v="51"/>
  </r>
  <r>
    <s v="Royal Challengers Bengaluru"/>
    <s v="Mumbai Indians"/>
    <x v="17"/>
    <n v="2025"/>
    <d v="2025-04-07T00:00:00"/>
    <s v="Mumbai Indians"/>
    <x v="0"/>
    <x v="0"/>
    <x v="19"/>
    <x v="262"/>
    <x v="42"/>
  </r>
  <r>
    <s v="Punjab Kings"/>
    <s v="Chennai Super Kings"/>
    <x v="17"/>
    <n v="2025"/>
    <d v="2025-04-08T00:00:00"/>
    <s v="Punjab Kings"/>
    <x v="1"/>
    <x v="1"/>
    <x v="16"/>
    <x v="298"/>
    <x v="56"/>
  </r>
  <r>
    <s v="Lucknow Super Giants"/>
    <s v="Kolkata Knight Riders"/>
    <x v="17"/>
    <n v="2025"/>
    <d v="2025-04-08T00:00:00"/>
    <s v="Kolkata Knight Riders"/>
    <x v="0"/>
    <x v="0"/>
    <x v="18"/>
    <x v="267"/>
    <x v="48"/>
  </r>
  <r>
    <s v="Gujarat Titans"/>
    <s v="Rajasthan Royals"/>
    <x v="17"/>
    <n v="2025"/>
    <d v="2025-04-09T00:00:00"/>
    <s v="Rajasthan Royals"/>
    <x v="0"/>
    <x v="0"/>
    <x v="17"/>
    <x v="265"/>
    <x v="43"/>
  </r>
  <r>
    <s v="Royal Challengers Bengaluru"/>
    <s v="Delhi Capitals"/>
    <x v="17"/>
    <n v="2025"/>
    <d v="2025-04-10T00:00:00"/>
    <s v="Delhi Capitals"/>
    <x v="0"/>
    <x v="1"/>
    <x v="15"/>
    <x v="202"/>
    <x v="52"/>
  </r>
  <r>
    <s v="Chennai Super Kings"/>
    <s v="Kolkata Knight Riders"/>
    <x v="17"/>
    <n v="2025"/>
    <d v="2025-04-11T00:00:00"/>
    <s v="Kolkata Knight Riders"/>
    <x v="0"/>
    <x v="1"/>
    <x v="0"/>
    <x v="127"/>
    <x v="41"/>
  </r>
  <r>
    <s v="Gujarat Titans"/>
    <s v="Lucknow Super Giants"/>
    <x v="17"/>
    <n v="2025"/>
    <d v="2025-04-12T00:00:00"/>
    <s v="Lucknow Super Giants"/>
    <x v="0"/>
    <x v="1"/>
    <x v="18"/>
    <x v="299"/>
    <x v="50"/>
  </r>
  <r>
    <s v="Punjab Kings"/>
    <s v="Sunrisers Hyderabad"/>
    <x v="17"/>
    <n v="2025"/>
    <d v="2025-04-12T00:00:00"/>
    <s v="Punjab Kings"/>
    <x v="1"/>
    <x v="0"/>
    <x v="11"/>
    <x v="248"/>
    <x v="51"/>
  </r>
  <r>
    <s v="Rajasthan Royals"/>
    <s v="Royal Challengers Bengaluru"/>
    <x v="17"/>
    <n v="2025"/>
    <d v="2025-04-13T00:00:00"/>
    <s v="Royal Challengers Bengaluru"/>
    <x v="0"/>
    <x v="1"/>
    <x v="19"/>
    <x v="273"/>
    <x v="54"/>
  </r>
  <r>
    <s v="Mumbai Indians"/>
    <s v="Delhi Capitals"/>
    <x v="17"/>
    <n v="2025"/>
    <d v="2025-04-13T00:00:00"/>
    <s v="Delhi Capitals"/>
    <x v="0"/>
    <x v="0"/>
    <x v="7"/>
    <x v="201"/>
    <x v="44"/>
  </r>
  <r>
    <s v="Lucknow Super Giants"/>
    <s v="Chennai Super Kings"/>
    <x v="17"/>
    <n v="2025"/>
    <d v="2025-04-14T00:00:00"/>
    <s v="Chennai Super Kings"/>
    <x v="0"/>
    <x v="1"/>
    <x v="1"/>
    <x v="13"/>
    <x v="50"/>
  </r>
  <r>
    <s v="Punjab Kings"/>
    <s v="Kolkata Knight Riders"/>
    <x v="17"/>
    <n v="2025"/>
    <d v="2025-04-15T00:00:00"/>
    <s v="Punjab Kings"/>
    <x v="1"/>
    <x v="1"/>
    <x v="16"/>
    <x v="151"/>
    <x v="56"/>
  </r>
  <r>
    <s v="Delhi Capitals"/>
    <s v="Rajasthan Royals"/>
    <x v="17"/>
    <n v="2025"/>
    <d v="2025-04-16T00:00:00"/>
    <s v="Rajasthan Royals"/>
    <x v="0"/>
    <x v="0"/>
    <x v="8"/>
    <x v="167"/>
    <x v="44"/>
  </r>
  <r>
    <s v="Sunrisers Hyderabad"/>
    <s v="Mumbai Indians"/>
    <x v="17"/>
    <n v="2025"/>
    <d v="2025-04-17T00:00:00"/>
    <s v="Mumbai Indians"/>
    <x v="0"/>
    <x v="1"/>
    <x v="7"/>
    <x v="289"/>
    <x v="42"/>
  </r>
  <r>
    <s v="Royal Challengers Bengaluru"/>
    <s v="Punjab Kings"/>
    <x v="17"/>
    <n v="2025"/>
    <d v="2025-04-18T00:00:00"/>
    <s v="Punjab Kings"/>
    <x v="0"/>
    <x v="1"/>
    <x v="16"/>
    <x v="257"/>
    <x v="52"/>
  </r>
  <r>
    <s v="Delhi Capitals"/>
    <s v="Gujarat Titans"/>
    <x v="17"/>
    <n v="2025"/>
    <d v="2025-04-19T00:00:00"/>
    <s v="Gujarat Titans"/>
    <x v="0"/>
    <x v="1"/>
    <x v="17"/>
    <x v="194"/>
    <x v="43"/>
  </r>
  <r>
    <s v="Lucknow Super Giants"/>
    <s v="Rajasthan Royals"/>
    <x v="17"/>
    <n v="2025"/>
    <d v="2025-04-19T00:00:00"/>
    <s v="Lucknow Super Giants"/>
    <x v="1"/>
    <x v="1"/>
    <x v="18"/>
    <x v="247"/>
    <x v="54"/>
  </r>
  <r>
    <s v="Punjab Kings"/>
    <s v="Royal Challengers Bengaluru"/>
    <x v="17"/>
    <n v="2025"/>
    <d v="2025-04-20T00:00:00"/>
    <s v="Royal Challengers Bengaluru"/>
    <x v="0"/>
    <x v="1"/>
    <x v="19"/>
    <x v="104"/>
    <x v="56"/>
  </r>
  <r>
    <s v="Chennai Super Kings"/>
    <s v="Mumbai Indians"/>
    <x v="17"/>
    <n v="2025"/>
    <d v="2025-04-20T00:00:00"/>
    <s v="Mumbai Indians"/>
    <x v="0"/>
    <x v="1"/>
    <x v="7"/>
    <x v="57"/>
    <x v="42"/>
  </r>
  <r>
    <s v="Gujarat Titans"/>
    <s v="Kolkata Knight Riders"/>
    <x v="17"/>
    <n v="2025"/>
    <d v="2025-04-21T00:00:00"/>
    <s v="Kolkata Knight Riders"/>
    <x v="0"/>
    <x v="0"/>
    <x v="17"/>
    <x v="224"/>
    <x v="48"/>
  </r>
  <r>
    <s v="Lucknow Super Giants"/>
    <s v="Delhi Capitals"/>
    <x v="17"/>
    <n v="2025"/>
    <d v="2025-04-22T00:00:00"/>
    <s v="Delhi Capitals"/>
    <x v="0"/>
    <x v="1"/>
    <x v="15"/>
    <x v="300"/>
    <x v="50"/>
  </r>
  <r>
    <s v="Sunrisers Hyderabad"/>
    <s v="Mumbai Indians"/>
    <x v="17"/>
    <n v="2025"/>
    <d v="2025-04-23T00:00:00"/>
    <s v="Mumbai Indians"/>
    <x v="0"/>
    <x v="1"/>
    <x v="7"/>
    <x v="169"/>
    <x v="51"/>
  </r>
  <r>
    <s v="Royal Challengers Bengaluru"/>
    <s v="Rajasthan Royals"/>
    <x v="17"/>
    <n v="2025"/>
    <d v="2025-04-24T00:00:00"/>
    <s v="Rajasthan Royals"/>
    <x v="0"/>
    <x v="0"/>
    <x v="19"/>
    <x v="240"/>
    <x v="52"/>
  </r>
  <r>
    <s v="Chennai Super Kings"/>
    <s v="Sunrisers Hyderabad"/>
    <x v="17"/>
    <n v="2025"/>
    <d v="2025-04-25T00:00:00"/>
    <s v="Sunrisers Hyderabad"/>
    <x v="0"/>
    <x v="1"/>
    <x v="11"/>
    <x v="199"/>
    <x v="41"/>
  </r>
  <r>
    <s v="Punjab Kings"/>
    <s v="Kolkata Knight Riders"/>
    <x v="17"/>
    <n v="2025"/>
    <d v="2025-04-26T00:00:00"/>
    <s v="Punjab Kings"/>
    <x v="1"/>
    <x v="0"/>
    <x v="8"/>
    <x v="115"/>
    <x v="48"/>
  </r>
  <r>
    <s v="Mumbai Indians"/>
    <s v="Lucknow Super Giants"/>
    <x v="17"/>
    <n v="2025"/>
    <d v="2025-04-27T00:00:00"/>
    <s v="Lucknow Super Giants"/>
    <x v="0"/>
    <x v="0"/>
    <x v="7"/>
    <x v="289"/>
    <x v="42"/>
  </r>
  <r>
    <s v="Delhi Capitals"/>
    <s v="Royal Challengers Bengaluru"/>
    <x v="17"/>
    <n v="2025"/>
    <d v="2025-04-27T00:00:00"/>
    <s v="Royal Challengers Bengaluru"/>
    <x v="0"/>
    <x v="1"/>
    <x v="19"/>
    <x v="185"/>
    <x v="44"/>
  </r>
  <r>
    <s v="Gujarat Titans"/>
    <s v="Rajasthan Royals"/>
    <x v="17"/>
    <n v="2025"/>
    <d v="2025-04-28T00:00:00"/>
    <s v="Rajasthan Royals"/>
    <x v="0"/>
    <x v="1"/>
    <x v="4"/>
    <x v="301"/>
    <x v="54"/>
  </r>
  <r>
    <s v="Kolkata Knight Riders"/>
    <s v="Delhi Capitals"/>
    <x v="17"/>
    <n v="2025"/>
    <d v="2025-04-29T00:00:00"/>
    <s v="Delhi Capitals"/>
    <x v="0"/>
    <x v="0"/>
    <x v="0"/>
    <x v="127"/>
    <x v="44"/>
  </r>
  <r>
    <s v="Chennai Super Kings"/>
    <s v="Punjab Kings"/>
    <x v="17"/>
    <n v="2025"/>
    <d v="2025-04-30T00:00:00"/>
    <s v="Punjab Kings"/>
    <x v="0"/>
    <x v="1"/>
    <x v="16"/>
    <x v="166"/>
    <x v="41"/>
  </r>
  <r>
    <s v="Mumbai Indians"/>
    <s v="Rajasthan Royals"/>
    <x v="17"/>
    <n v="2025"/>
    <d v="2025-05-01T00:00:00"/>
    <s v="Rajasthan Royals"/>
    <x v="0"/>
    <x v="0"/>
    <x v="7"/>
    <x v="302"/>
    <x v="54"/>
  </r>
  <r>
    <s v="Gujarat Titans"/>
    <s v="Sunrisers Hyderabad"/>
    <x v="17"/>
    <n v="2025"/>
    <d v="2025-05-02T00:00:00"/>
    <s v="Sunrisers Hyderabad"/>
    <x v="0"/>
    <x v="0"/>
    <x v="17"/>
    <x v="294"/>
    <x v="43"/>
  </r>
  <r>
    <s v="Royal Challengers Bengaluru"/>
    <s v="Chennai Super Kings"/>
    <x v="17"/>
    <n v="2025"/>
    <d v="2025-05-03T00:00:00"/>
    <s v="Chennai Super Kings"/>
    <x v="0"/>
    <x v="0"/>
    <x v="19"/>
    <x v="284"/>
    <x v="52"/>
  </r>
  <r>
    <s v="Punjab Kings"/>
    <s v="Lucknow Super Giants"/>
    <x v="17"/>
    <n v="2025"/>
    <d v="2025-05-04T00:00:00"/>
    <s v="Lucknow Super Giants"/>
    <x v="0"/>
    <x v="0"/>
    <x v="16"/>
    <x v="276"/>
    <x v="55"/>
  </r>
  <r>
    <s v="Kolkata Knight Riders"/>
    <s v="Rajasthan Royals"/>
    <x v="17"/>
    <n v="2025"/>
    <d v="2025-05-04T00:00:00"/>
    <s v="Kolkata Knight Riders"/>
    <x v="1"/>
    <x v="1"/>
    <x v="0"/>
    <x v="165"/>
    <x v="48"/>
  </r>
  <r>
    <s v="Delhi Capitals"/>
    <s v="Sunrisers Hyderabad"/>
    <x v="17"/>
    <n v="2025"/>
    <d v="2025-05-05T00:00:00"/>
    <s v="Sunrisers Hyderabad"/>
    <x v="0"/>
    <x v="0"/>
    <x v="8"/>
    <x v="115"/>
    <x v="51"/>
  </r>
  <r>
    <s v="Mumbai Indians"/>
    <s v="Gujarat Titans"/>
    <x v="17"/>
    <n v="2025"/>
    <d v="2025-05-06T00:00:00"/>
    <s v="Gujarat Titans"/>
    <x v="0"/>
    <x v="1"/>
    <x v="17"/>
    <x v="224"/>
    <x v="42"/>
  </r>
  <r>
    <s v="Kolkata Knight Riders"/>
    <s v="Chennai Super Kings"/>
    <x v="17"/>
    <n v="2025"/>
    <d v="2025-05-07T00:00:00"/>
    <s v="Kolkata Knight Riders"/>
    <x v="1"/>
    <x v="0"/>
    <x v="1"/>
    <x v="292"/>
    <x v="48"/>
  </r>
  <r>
    <s v="Punjab Kings"/>
    <s v="Delhi Capitals"/>
    <x v="17"/>
    <n v="2025"/>
    <d v="2025-05-08T00:00:00"/>
    <s v="Punjab Kings"/>
    <x v="1"/>
    <x v="0"/>
    <x v="8"/>
    <x v="115"/>
    <x v="55"/>
  </r>
  <r>
    <s v="Delhi Capitals"/>
    <s v="Gujarat Titans"/>
    <x v="17"/>
    <n v="2025"/>
    <d v="2025-05-18T00:00:00"/>
    <s v="Gujarat Titans"/>
    <x v="0"/>
    <x v="1"/>
    <x v="17"/>
    <x v="265"/>
    <x v="44"/>
  </r>
  <r>
    <s v="Punjab Kings"/>
    <s v="Rajasthan Royals"/>
    <x v="17"/>
    <n v="2025"/>
    <d v="2025-05-18T00:00:00"/>
    <s v="Punjab Kings"/>
    <x v="1"/>
    <x v="1"/>
    <x v="16"/>
    <x v="237"/>
    <x v="54"/>
  </r>
  <r>
    <s v="Lucknow Super Giants"/>
    <s v="Sunrisers Hyderabad"/>
    <x v="17"/>
    <n v="2025"/>
    <d v="2025-05-19T00:00:00"/>
    <s v="Sunrisers Hyderabad"/>
    <x v="0"/>
    <x v="1"/>
    <x v="11"/>
    <x v="248"/>
    <x v="50"/>
  </r>
  <r>
    <s v="Chennai Super Kings"/>
    <s v="Rajasthan Royals"/>
    <x v="17"/>
    <n v="2025"/>
    <d v="2025-05-20T00:00:00"/>
    <s v="Rajasthan Royals"/>
    <x v="0"/>
    <x v="1"/>
    <x v="4"/>
    <x v="280"/>
    <x v="44"/>
  </r>
  <r>
    <s v="Mumbai Indians"/>
    <s v="Delhi Capitals"/>
    <x v="17"/>
    <n v="2025"/>
    <d v="2025-05-21T00:00:00"/>
    <s v="Delhi Capitals"/>
    <x v="0"/>
    <x v="0"/>
    <x v="7"/>
    <x v="178"/>
    <x v="42"/>
  </r>
  <r>
    <s v="Lucknow Super Giants"/>
    <s v="Gujarat Titans"/>
    <x v="17"/>
    <n v="2025"/>
    <d v="2025-05-22T00:00:00"/>
    <s v="Gujarat Titans"/>
    <x v="0"/>
    <x v="0"/>
    <x v="18"/>
    <x v="111"/>
    <x v="43"/>
  </r>
  <r>
    <s v="Sunrisers Hyderabad"/>
    <s v="Royal Challengers Bengaluru"/>
    <x v="17"/>
    <n v="2025"/>
    <d v="2025-05-23T00:00:00"/>
    <s v="Royal Challengers Bengaluru"/>
    <x v="0"/>
    <x v="0"/>
    <x v="11"/>
    <x v="210"/>
    <x v="50"/>
  </r>
  <r>
    <s v="Punjab Kings"/>
    <s v="Delhi Capitals"/>
    <x v="17"/>
    <n v="2025"/>
    <d v="2025-05-24T00:00:00"/>
    <s v="Delhi Capitals"/>
    <x v="0"/>
    <x v="1"/>
    <x v="15"/>
    <x v="303"/>
    <x v="54"/>
  </r>
  <r>
    <s v="Sunrisers Hyderabad"/>
    <s v="Kolkata Knight Riders"/>
    <x v="17"/>
    <n v="2025"/>
    <d v="2025-05-25T00:00:00"/>
    <s v="Sunrisers Hyderabad"/>
    <x v="1"/>
    <x v="1"/>
    <x v="11"/>
    <x v="304"/>
    <x v="44"/>
  </r>
  <r>
    <s v="Chennai Super Kings"/>
    <s v="Gujarat Titans"/>
    <x v="17"/>
    <n v="2025"/>
    <d v="2025-05-25T00:00:00"/>
    <s v="Chennai Super Kings"/>
    <x v="1"/>
    <x v="1"/>
    <x v="1"/>
    <x v="305"/>
    <x v="43"/>
  </r>
  <r>
    <s v="Mumbai Indians"/>
    <s v="Punjab Kings"/>
    <x v="17"/>
    <n v="2025"/>
    <d v="2025-05-26T00:00:00"/>
    <s v="Punjab Kings"/>
    <x v="0"/>
    <x v="1"/>
    <x v="16"/>
    <x v="306"/>
    <x v="54"/>
  </r>
  <r>
    <s v="Lucknow Super Giants"/>
    <s v="Royal Challengers Bengaluru"/>
    <x v="17"/>
    <n v="2025"/>
    <d v="2025-05-27T00:00:00"/>
    <s v="Royal Challengers Bengaluru"/>
    <x v="0"/>
    <x v="1"/>
    <x v="19"/>
    <x v="307"/>
    <x v="50"/>
  </r>
  <r>
    <s v="Punjab Kings"/>
    <s v="Royal Challengers Bengaluru"/>
    <x v="17"/>
    <n v="2025"/>
    <d v="2025-05-29T00:00:00"/>
    <s v="Royal Challengers Bengaluru"/>
    <x v="0"/>
    <x v="1"/>
    <x v="19"/>
    <x v="308"/>
    <x v="56"/>
  </r>
  <r>
    <s v="Mumbai Indians"/>
    <s v="Gujarat Titans"/>
    <x v="17"/>
    <n v="2025"/>
    <d v="2025-05-30T00:00:00"/>
    <s v="Mumbai Indians"/>
    <x v="1"/>
    <x v="1"/>
    <x v="7"/>
    <x v="57"/>
    <x v="58"/>
  </r>
  <r>
    <s v="Mumbai Indians"/>
    <s v="Punjab Kings"/>
    <x v="17"/>
    <n v="2025"/>
    <d v="2025-06-01T00:00:00"/>
    <s v="Punjab Kings"/>
    <x v="0"/>
    <x v="1"/>
    <x v="16"/>
    <x v="166"/>
    <x v="43"/>
  </r>
  <r>
    <s v="Royal Challengers Bengaluru"/>
    <s v="Punjab Kings"/>
    <x v="17"/>
    <n v="2025"/>
    <d v="2025-06-03T00:00:00"/>
    <s v="Punjab Kings"/>
    <x v="0"/>
    <x v="0"/>
    <x v="19"/>
    <x v="185"/>
    <x v="4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2008"/>
    <x v="0"/>
    <s v="Chennai Super Kings"/>
    <s v="Yusuf Pathan"/>
    <s v="Shane Watson"/>
  </r>
  <r>
    <n v="2009"/>
    <x v="1"/>
    <s v="Royal Challengers Bangalore"/>
    <s v="Anil Kumble"/>
    <s v="Adam Gilchrist"/>
  </r>
  <r>
    <n v="2010"/>
    <x v="2"/>
    <s v="Mumbai Indians"/>
    <s v="Suresh Raina"/>
    <s v="Sachin Tendulkar"/>
  </r>
  <r>
    <n v="2011"/>
    <x v="2"/>
    <s v="Royal Challengers Bangalore"/>
    <s v="Murali Vijay"/>
    <s v="Chris Gayle"/>
  </r>
  <r>
    <n v="2012"/>
    <x v="3"/>
    <s v="Chennai Super Kings"/>
    <s v="Manvinder Bisla"/>
    <s v="Sunil Narine"/>
  </r>
  <r>
    <n v="2013"/>
    <x v="4"/>
    <s v="Chennai Super Kings"/>
    <s v="Kieron Pollard"/>
    <s v="Shane Watson"/>
  </r>
  <r>
    <n v="2014"/>
    <x v="3"/>
    <s v="Kings XI Punjab"/>
    <s v="Manish Pandey"/>
    <s v="Glenn Maxwell"/>
  </r>
  <r>
    <n v="2015"/>
    <x v="4"/>
    <s v="Chennai Super Kings"/>
    <s v="Rohit Sharma"/>
    <s v="Andre Russell"/>
  </r>
  <r>
    <n v="2016"/>
    <x v="5"/>
    <s v="Royal Challengers Bangalore"/>
    <s v="Ben Cutting"/>
    <s v="Virat Kohli"/>
  </r>
  <r>
    <n v="2017"/>
    <x v="4"/>
    <s v="Rising Pune Supergiant"/>
    <s v="Krunal Pandya"/>
    <s v="Ben Stokes"/>
  </r>
  <r>
    <n v="2018"/>
    <x v="2"/>
    <s v="Sunrisers Hyderabad"/>
    <s v="Shane Watson"/>
    <s v="Sunil Narine"/>
  </r>
  <r>
    <n v="2019"/>
    <x v="4"/>
    <s v="Chennai Super Kings"/>
    <s v="Jasprit Bumrah"/>
    <s v="Andre Russell"/>
  </r>
  <r>
    <n v="2020"/>
    <x v="4"/>
    <s v="Delhi Capitals"/>
    <s v="Trent Boult"/>
    <s v="Jofra Archer"/>
  </r>
  <r>
    <n v="2021"/>
    <x v="2"/>
    <s v="Kolkata Knight Riders"/>
    <s v="Faf du Plessis"/>
    <s v="Harshal Patel"/>
  </r>
  <r>
    <n v="2022"/>
    <x v="6"/>
    <s v="Rajasthan Royals"/>
    <s v="Hardik Pandya"/>
    <s v="Jos Buttler"/>
  </r>
  <r>
    <n v="2023"/>
    <x v="2"/>
    <s v="Gujarat Titans"/>
    <s v="Devon Conway"/>
    <s v="Shubman Gill"/>
  </r>
  <r>
    <n v="2024"/>
    <x v="3"/>
    <s v="Sunrisers Hyderabad"/>
    <s v="Mitchell Starc"/>
    <s v="Sunil Narine"/>
  </r>
  <r>
    <n v="2025"/>
    <x v="7"/>
    <s v="Punjab Kings"/>
    <s v="Krunal Pandya"/>
    <s v="Suryakumar Yada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29AEF6-3587-4B14-918A-A57B0C0AE52B}" name="Matches won based on tos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D14" firstHeaderRow="1" firstDataRow="2" firstDataCol="1"/>
  <pivotFields count="11">
    <pivotField showAll="0"/>
    <pivotField showAll="0"/>
    <pivotField showAll="0">
      <items count="19">
        <item h="1" x="0"/>
        <item h="1" x="1"/>
        <item h="1" x="2"/>
        <item h="1" x="3"/>
        <item h="1" x="4"/>
        <item h="1" x="5"/>
        <item h="1" x="6"/>
        <item h="1" x="7"/>
        <item h="1" x="8"/>
        <item h="1" x="9"/>
        <item h="1" x="10"/>
        <item x="11"/>
        <item h="1" x="12"/>
        <item h="1" x="13"/>
        <item h="1" x="14"/>
        <item h="1" x="15"/>
        <item h="1" x="16"/>
        <item h="1" x="17"/>
        <item t="default"/>
      </items>
    </pivotField>
    <pivotField showAll="0"/>
    <pivotField numFmtId="14" showAll="0"/>
    <pivotField dataField="1" showAll="0"/>
    <pivotField axis="axisCol" showAll="0">
      <items count="3">
        <item x="1"/>
        <item x="0"/>
        <item t="default"/>
      </items>
    </pivotField>
    <pivotField showAll="0"/>
    <pivotField axis="axisRow" showAll="0" sortType="descending">
      <items count="21">
        <item x="1"/>
        <item x="6"/>
        <item x="15"/>
        <item x="2"/>
        <item x="13"/>
        <item x="17"/>
        <item x="5"/>
        <item x="10"/>
        <item x="0"/>
        <item x="18"/>
        <item x="7"/>
        <item x="9"/>
        <item x="16"/>
        <item x="4"/>
        <item x="14"/>
        <item x="12"/>
        <item x="3"/>
        <item x="19"/>
        <item x="11"/>
        <item x="8"/>
        <item t="default"/>
      </items>
      <autoSortScope>
        <pivotArea dataOnly="0" outline="0" fieldPosition="0">
          <references count="1">
            <reference field="4294967294" count="1" selected="0">
              <x v="0"/>
            </reference>
          </references>
        </pivotArea>
      </autoSortScope>
    </pivotField>
    <pivotField showAll="0"/>
    <pivotField showAll="0"/>
  </pivotFields>
  <rowFields count="1">
    <field x="8"/>
  </rowFields>
  <rowItems count="10">
    <i>
      <x/>
    </i>
    <i>
      <x v="10"/>
    </i>
    <i>
      <x v="2"/>
    </i>
    <i>
      <x v="8"/>
    </i>
    <i>
      <x v="6"/>
    </i>
    <i>
      <x v="18"/>
    </i>
    <i>
      <x v="16"/>
    </i>
    <i>
      <x v="13"/>
    </i>
    <i>
      <x v="19"/>
    </i>
    <i t="grand">
      <x/>
    </i>
  </rowItems>
  <colFields count="1">
    <field x="6"/>
  </colFields>
  <colItems count="3">
    <i>
      <x/>
    </i>
    <i>
      <x v="1"/>
    </i>
    <i t="grand">
      <x/>
    </i>
  </colItems>
  <dataFields count="1">
    <dataField name="Count of toss_winner" fld="5" subtotal="count" baseField="0" baseItem="0"/>
  </dataFields>
  <chartFormats count="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17" format="4" series="1">
      <pivotArea type="data" outline="0" fieldPosition="0">
        <references count="2">
          <reference field="4294967294" count="1" selected="0">
            <x v="0"/>
          </reference>
          <reference field="6" count="1" selected="0">
            <x v="0"/>
          </reference>
        </references>
      </pivotArea>
    </chartFormat>
    <chartFormat chart="17"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DD202B-9E97-426F-B187-DDEDE6158019}" name="toss decis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1">
    <pivotField showAll="0"/>
    <pivotField showAll="0"/>
    <pivotField showAll="0">
      <items count="19">
        <item h="1" x="0"/>
        <item h="1" x="1"/>
        <item h="1" x="2"/>
        <item h="1" x="3"/>
        <item h="1" x="4"/>
        <item h="1" x="5"/>
        <item h="1" x="6"/>
        <item h="1" x="7"/>
        <item h="1" x="8"/>
        <item h="1" x="9"/>
        <item h="1" x="10"/>
        <item x="11"/>
        <item h="1" x="12"/>
        <item h="1" x="13"/>
        <item h="1" x="14"/>
        <item h="1" x="15"/>
        <item h="1" x="16"/>
        <item h="1" x="17"/>
        <item t="default"/>
      </items>
    </pivotField>
    <pivotField showAll="0"/>
    <pivotField numFmtId="14" showAll="0"/>
    <pivotField showAll="0"/>
    <pivotField axis="axisRow" showAll="0">
      <items count="3">
        <item x="1"/>
        <item x="0"/>
        <item t="default"/>
      </items>
    </pivotField>
    <pivotField dataField="1" showAll="0">
      <items count="3">
        <item x="0"/>
        <item x="1"/>
        <item t="default"/>
      </items>
    </pivotField>
    <pivotField showAll="0">
      <items count="21">
        <item x="1"/>
        <item x="6"/>
        <item x="15"/>
        <item x="2"/>
        <item x="13"/>
        <item x="17"/>
        <item x="5"/>
        <item x="10"/>
        <item x="0"/>
        <item x="18"/>
        <item x="7"/>
        <item x="9"/>
        <item x="16"/>
        <item x="4"/>
        <item x="14"/>
        <item x="12"/>
        <item x="3"/>
        <item x="19"/>
        <item x="11"/>
        <item x="8"/>
        <item t="default"/>
      </items>
    </pivotField>
    <pivotField showAll="0"/>
    <pivotField showAll="0"/>
  </pivotFields>
  <rowFields count="1">
    <field x="6"/>
  </rowFields>
  <rowItems count="3">
    <i>
      <x/>
    </i>
    <i>
      <x v="1"/>
    </i>
    <i t="grand">
      <x/>
    </i>
  </rowItems>
  <colItems count="1">
    <i/>
  </colItems>
  <dataFields count="1">
    <dataField name="Count of result" fld="7"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6" count="1" selected="0">
            <x v="0"/>
          </reference>
        </references>
      </pivotArea>
    </chartFormat>
    <chartFormat chart="3" format="6">
      <pivotArea type="data" outline="0" fieldPosition="0">
        <references count="2">
          <reference field="4294967294" count="1" selected="0">
            <x v="0"/>
          </reference>
          <reference field="6" count="1" selected="0">
            <x v="1"/>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54BEC7-BA39-4FBA-A9AA-675DE5AE46FC}" name="TOP 10 VENU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4" firstHeaderRow="1" firstDataRow="2" firstDataCol="1"/>
  <pivotFields count="11">
    <pivotField showAll="0"/>
    <pivotField showAll="0"/>
    <pivotField showAll="0">
      <items count="19">
        <item h="1" x="0"/>
        <item h="1" x="1"/>
        <item h="1" x="2"/>
        <item h="1" x="3"/>
        <item h="1" x="4"/>
        <item h="1" x="5"/>
        <item h="1" x="6"/>
        <item h="1" x="7"/>
        <item h="1" x="8"/>
        <item h="1" x="9"/>
        <item h="1" x="10"/>
        <item x="11"/>
        <item h="1" x="12"/>
        <item h="1" x="13"/>
        <item h="1" x="14"/>
        <item h="1" x="15"/>
        <item h="1" x="16"/>
        <item h="1" x="17"/>
        <item t="default"/>
      </items>
    </pivotField>
    <pivotField showAll="0"/>
    <pivotField numFmtId="14" showAll="0"/>
    <pivotField showAll="0"/>
    <pivotField axis="axisCol" showAll="0">
      <items count="3">
        <item x="1"/>
        <item x="0"/>
        <item t="default"/>
      </items>
    </pivotField>
    <pivotField showAll="0"/>
    <pivotField dataField="1" showAll="0"/>
    <pivotField showAll="0"/>
    <pivotField axis="axisRow" showAll="0" measureFilter="1" sortType="ascending">
      <items count="60">
        <item x="40"/>
        <item x="44"/>
        <item x="19"/>
        <item x="53"/>
        <item x="50"/>
        <item x="17"/>
        <item x="20"/>
        <item x="13"/>
        <item x="15"/>
        <item x="8"/>
        <item x="46"/>
        <item x="25"/>
        <item x="57"/>
        <item x="32"/>
        <item x="4"/>
        <item x="48"/>
        <item x="2"/>
        <item x="35"/>
        <item x="22"/>
        <item x="55"/>
        <item x="24"/>
        <item x="29"/>
        <item x="11"/>
        <item x="0"/>
        <item x="52"/>
        <item x="36"/>
        <item x="39"/>
        <item x="7"/>
        <item x="41"/>
        <item x="56"/>
        <item x="58"/>
        <item x="27"/>
        <item x="47"/>
        <item x="43"/>
        <item x="23"/>
        <item x="14"/>
        <item x="9"/>
        <item x="16"/>
        <item x="37"/>
        <item x="33"/>
        <item x="49"/>
        <item x="1"/>
        <item x="38"/>
        <item x="6"/>
        <item x="51"/>
        <item x="18"/>
        <item x="34"/>
        <item x="5"/>
        <item x="54"/>
        <item x="28"/>
        <item x="31"/>
        <item x="30"/>
        <item x="10"/>
        <item x="26"/>
        <item x="12"/>
        <item x="21"/>
        <item x="3"/>
        <item x="42"/>
        <item x="45"/>
        <item t="default"/>
      </items>
      <autoSortScope>
        <pivotArea dataOnly="0" outline="0" fieldPosition="0">
          <references count="1">
            <reference field="4294967294" count="1" selected="0">
              <x v="0"/>
            </reference>
          </references>
        </pivotArea>
      </autoSortScope>
    </pivotField>
  </pivotFields>
  <rowFields count="1">
    <field x="10"/>
  </rowFields>
  <rowItems count="10">
    <i>
      <x v="11"/>
    </i>
    <i>
      <x v="25"/>
    </i>
    <i>
      <x/>
    </i>
    <i>
      <x v="56"/>
    </i>
    <i>
      <x v="14"/>
    </i>
    <i>
      <x v="38"/>
    </i>
    <i>
      <x v="47"/>
    </i>
    <i>
      <x v="26"/>
    </i>
    <i>
      <x v="42"/>
    </i>
    <i t="grand">
      <x/>
    </i>
  </rowItems>
  <colFields count="1">
    <field x="6"/>
  </colFields>
  <colItems count="3">
    <i>
      <x/>
    </i>
    <i>
      <x v="1"/>
    </i>
    <i t="grand">
      <x/>
    </i>
  </colItems>
  <dataFields count="1">
    <dataField name="Count of winner" fld="8" subtotal="count" baseField="0" baseItem="0"/>
  </dataFields>
  <chartFormats count="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3" format="4" series="1">
      <pivotArea type="data" outline="0" fieldPosition="0">
        <references count="2">
          <reference field="4294967294" count="1" selected="0">
            <x v="0"/>
          </reference>
          <reference field="6" count="1" selected="0">
            <x v="0"/>
          </reference>
        </references>
      </pivotArea>
    </chartFormat>
    <chartFormat chart="3"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60BC94-0792-491C-9724-F47D11CDEC47}" name="MO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1">
    <pivotField showAll="0"/>
    <pivotField showAll="0"/>
    <pivotField showAll="0">
      <items count="19">
        <item h="1" x="0"/>
        <item h="1" x="1"/>
        <item h="1" x="2"/>
        <item h="1" x="3"/>
        <item h="1" x="4"/>
        <item h="1" x="5"/>
        <item h="1" x="6"/>
        <item h="1" x="7"/>
        <item h="1" x="8"/>
        <item h="1" x="9"/>
        <item h="1" x="10"/>
        <item x="11"/>
        <item h="1" x="12"/>
        <item h="1" x="13"/>
        <item h="1" x="14"/>
        <item h="1" x="15"/>
        <item h="1" x="16"/>
        <item h="1" x="17"/>
        <item t="default"/>
      </items>
    </pivotField>
    <pivotField showAll="0"/>
    <pivotField numFmtId="14" showAll="0"/>
    <pivotField showAll="0"/>
    <pivotField showAll="0"/>
    <pivotField showAll="0"/>
    <pivotField showAll="0"/>
    <pivotField axis="axisRow" dataField="1" showAll="0" measureFilter="1" sortType="descending">
      <items count="310">
        <item x="135"/>
        <item x="33"/>
        <item x="271"/>
        <item x="27"/>
        <item x="23"/>
        <item x="229"/>
        <item x="58"/>
        <item x="72"/>
        <item x="184"/>
        <item x="73"/>
        <item x="46"/>
        <item x="179"/>
        <item x="248"/>
        <item x="11"/>
        <item x="76"/>
        <item x="124"/>
        <item x="69"/>
        <item x="165"/>
        <item x="140"/>
        <item x="191"/>
        <item x="299"/>
        <item x="280"/>
        <item x="119"/>
        <item x="249"/>
        <item x="149"/>
        <item x="160"/>
        <item x="263"/>
        <item x="217"/>
        <item x="207"/>
        <item x="293"/>
        <item x="295"/>
        <item x="83"/>
        <item x="247"/>
        <item x="133"/>
        <item x="157"/>
        <item x="65"/>
        <item x="265"/>
        <item x="205"/>
        <item x="110"/>
        <item x="192"/>
        <item x="0"/>
        <item x="187"/>
        <item x="66"/>
        <item x="134"/>
        <item x="270"/>
        <item x="153"/>
        <item x="45"/>
        <item x="180"/>
        <item x="158"/>
        <item x="231"/>
        <item x="130"/>
        <item x="181"/>
        <item x="39"/>
        <item x="230"/>
        <item x="305"/>
        <item x="236"/>
        <item x="143"/>
        <item x="79"/>
        <item x="95"/>
        <item x="30"/>
        <item x="163"/>
        <item x="4"/>
        <item x="145"/>
        <item x="220"/>
        <item x="43"/>
        <item x="259"/>
        <item x="51"/>
        <item x="28"/>
        <item x="260"/>
        <item x="60"/>
        <item x="297"/>
        <item x="101"/>
        <item x="245"/>
        <item x="171"/>
        <item x="123"/>
        <item x="56"/>
        <item x="29"/>
        <item x="15"/>
        <item x="275"/>
        <item x="138"/>
        <item x="162"/>
        <item x="152"/>
        <item x="304"/>
        <item x="62"/>
        <item x="89"/>
        <item x="237"/>
        <item x="268"/>
        <item x="219"/>
        <item x="50"/>
        <item x="172"/>
        <item x="186"/>
        <item x="199"/>
        <item x="105"/>
        <item x="19"/>
        <item x="222"/>
        <item x="107"/>
        <item x="210"/>
        <item x="106"/>
        <item x="288"/>
        <item x="272"/>
        <item x="74"/>
        <item x="34"/>
        <item x="206"/>
        <item x="194"/>
        <item x="126"/>
        <item x="93"/>
        <item x="10"/>
        <item x="116"/>
        <item x="55"/>
        <item x="190"/>
        <item x="204"/>
        <item x="215"/>
        <item x="307"/>
        <item x="239"/>
        <item x="52"/>
        <item x="141"/>
        <item x="306"/>
        <item x="240"/>
        <item x="218"/>
        <item x="91"/>
        <item x="238"/>
        <item x="9"/>
        <item x="35"/>
        <item x="185"/>
        <item x="223"/>
        <item x="147"/>
        <item x="159"/>
        <item x="202"/>
        <item x="77"/>
        <item x="221"/>
        <item x="129"/>
        <item x="82"/>
        <item x="241"/>
        <item x="193"/>
        <item x="211"/>
        <item x="201"/>
        <item x="25"/>
        <item x="213"/>
        <item x="195"/>
        <item x="150"/>
        <item x="161"/>
        <item x="67"/>
        <item x="61"/>
        <item x="246"/>
        <item x="253"/>
        <item x="94"/>
        <item x="122"/>
        <item x="44"/>
        <item x="31"/>
        <item x="274"/>
        <item x="294"/>
        <item x="81"/>
        <item x="139"/>
        <item x="164"/>
        <item x="167"/>
        <item x="264"/>
        <item x="131"/>
        <item x="173"/>
        <item x="99"/>
        <item x="1"/>
        <item x="2"/>
        <item x="146"/>
        <item x="85"/>
        <item x="175"/>
        <item x="68"/>
        <item x="70"/>
        <item x="7"/>
        <item x="235"/>
        <item x="103"/>
        <item x="154"/>
        <item x="121"/>
        <item x="196"/>
        <item x="198"/>
        <item x="255"/>
        <item x="183"/>
        <item x="281"/>
        <item x="111"/>
        <item x="137"/>
        <item x="13"/>
        <item x="142"/>
        <item x="209"/>
        <item x="252"/>
        <item x="300"/>
        <item x="177"/>
        <item x="3"/>
        <item x="115"/>
        <item x="267"/>
        <item x="189"/>
        <item x="285"/>
        <item x="170"/>
        <item x="292"/>
        <item x="266"/>
        <item x="78"/>
        <item x="243"/>
        <item x="18"/>
        <item x="132"/>
        <item x="108"/>
        <item x="276"/>
        <item x="148"/>
        <item x="100"/>
        <item x="84"/>
        <item x="273"/>
        <item x="233"/>
        <item x="227"/>
        <item x="277"/>
        <item x="88"/>
        <item x="48"/>
        <item x="214"/>
        <item x="298"/>
        <item x="155"/>
        <item x="244"/>
        <item x="176"/>
        <item x="90"/>
        <item x="63"/>
        <item x="40"/>
        <item x="92"/>
        <item x="254"/>
        <item x="287"/>
        <item x="109"/>
        <item x="284"/>
        <item x="228"/>
        <item x="37"/>
        <item x="120"/>
        <item x="197"/>
        <item x="188"/>
        <item x="234"/>
        <item x="232"/>
        <item x="302"/>
        <item x="117"/>
        <item x="57"/>
        <item x="87"/>
        <item x="256"/>
        <item x="262"/>
        <item x="42"/>
        <item x="182"/>
        <item x="279"/>
        <item x="47"/>
        <item x="75"/>
        <item x="96"/>
        <item x="112"/>
        <item x="59"/>
        <item x="114"/>
        <item x="250"/>
        <item x="212"/>
        <item x="128"/>
        <item x="102"/>
        <item x="22"/>
        <item x="16"/>
        <item x="178"/>
        <item x="303"/>
        <item x="156"/>
        <item x="54"/>
        <item x="98"/>
        <item x="24"/>
        <item x="17"/>
        <item x="291"/>
        <item x="125"/>
        <item x="282"/>
        <item x="226"/>
        <item x="26"/>
        <item x="224"/>
        <item x="269"/>
        <item x="290"/>
        <item x="38"/>
        <item x="97"/>
        <item x="64"/>
        <item x="80"/>
        <item x="216"/>
        <item x="12"/>
        <item x="21"/>
        <item x="261"/>
        <item x="225"/>
        <item x="20"/>
        <item x="32"/>
        <item x="127"/>
        <item x="118"/>
        <item x="41"/>
        <item x="5"/>
        <item x="166"/>
        <item x="14"/>
        <item x="308"/>
        <item x="144"/>
        <item x="203"/>
        <item x="169"/>
        <item x="208"/>
        <item x="257"/>
        <item x="86"/>
        <item x="49"/>
        <item x="286"/>
        <item x="36"/>
        <item x="251"/>
        <item x="136"/>
        <item x="104"/>
        <item x="6"/>
        <item x="301"/>
        <item x="296"/>
        <item x="168"/>
        <item x="242"/>
        <item x="200"/>
        <item x="278"/>
        <item x="289"/>
        <item x="113"/>
        <item x="71"/>
        <item x="283"/>
        <item x="258"/>
        <item x="8"/>
        <item x="151"/>
        <item x="53"/>
        <item x="174"/>
        <item t="default"/>
      </items>
      <autoSortScope>
        <pivotArea dataOnly="0" outline="0" fieldPosition="0">
          <references count="1">
            <reference field="4294967294" count="1" selected="0">
              <x v="0"/>
            </reference>
          </references>
        </pivotArea>
      </autoSortScope>
    </pivotField>
    <pivotField showAll="0"/>
  </pivotFields>
  <rowFields count="1">
    <field x="9"/>
  </rowFields>
  <rowItems count="13">
    <i>
      <x v="17"/>
    </i>
    <i>
      <x v="234"/>
    </i>
    <i>
      <x v="178"/>
    </i>
    <i>
      <x v="89"/>
    </i>
    <i>
      <x v="109"/>
    </i>
    <i>
      <x v="10"/>
    </i>
    <i>
      <x v="241"/>
    </i>
    <i>
      <x v="57"/>
    </i>
    <i>
      <x v="111"/>
    </i>
    <i>
      <x v="277"/>
    </i>
    <i>
      <x v="127"/>
    </i>
    <i>
      <x v="83"/>
    </i>
    <i t="grand">
      <x/>
    </i>
  </rowItems>
  <colItems count="1">
    <i/>
  </colItems>
  <dataFields count="1">
    <dataField name="Count of player_of_match" fld="9" subtotal="count" baseField="0" baseItem="0"/>
  </dataField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958608-CA3B-439B-AB4A-FB9B63BB52CE}"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1">
    <pivotField showAll="0"/>
    <pivotField showAll="0"/>
    <pivotField axis="axisRow" showAll="0">
      <items count="19">
        <item h="1" x="0"/>
        <item h="1" x="1"/>
        <item h="1" x="2"/>
        <item h="1" x="3"/>
        <item h="1" x="4"/>
        <item h="1" x="5"/>
        <item h="1" x="6"/>
        <item h="1" x="7"/>
        <item h="1" x="8"/>
        <item h="1" x="9"/>
        <item h="1" x="10"/>
        <item x="11"/>
        <item h="1" x="12"/>
        <item h="1" x="13"/>
        <item h="1" x="14"/>
        <item h="1" x="15"/>
        <item h="1" x="16"/>
        <item h="1" x="17"/>
        <item t="default"/>
      </items>
    </pivotField>
    <pivotField showAll="0"/>
    <pivotField numFmtId="14" showAll="0"/>
    <pivotField showAll="0"/>
    <pivotField showAll="0"/>
    <pivotField showAll="0"/>
    <pivotField showAll="0"/>
    <pivotField showAll="0"/>
    <pivotField showAll="0"/>
  </pivotFields>
  <rowFields count="1">
    <field x="2"/>
  </rowFields>
  <rowItems count="2">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A2FA77-00E7-4FD5-AEA2-31AE54E98EE3}" name="title winn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5">
    <pivotField showAll="0"/>
    <pivotField axis="axisRow" dataField="1" showAll="0">
      <items count="9">
        <item x="2"/>
        <item x="1"/>
        <item x="6"/>
        <item x="3"/>
        <item x="4"/>
        <item x="0"/>
        <item x="7"/>
        <item x="5"/>
        <item t="default"/>
      </items>
    </pivotField>
    <pivotField showAll="0"/>
    <pivotField showAll="0"/>
    <pivotField showAll="0"/>
  </pivotFields>
  <rowFields count="1">
    <field x="1"/>
  </rowFields>
  <rowItems count="9">
    <i>
      <x/>
    </i>
    <i>
      <x v="1"/>
    </i>
    <i>
      <x v="2"/>
    </i>
    <i>
      <x v="3"/>
    </i>
    <i>
      <x v="4"/>
    </i>
    <i>
      <x v="5"/>
    </i>
    <i>
      <x v="6"/>
    </i>
    <i>
      <x v="7"/>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7EC7F9FC-6D2F-4409-B39F-BCFB82993FBF}" sourceName="season">
  <pivotTables>
    <pivotTable tabId="5" name="TOP 10 VENUES"/>
    <pivotTable tabId="10" name="KPI"/>
    <pivotTable tabId="3" name="Matches won based on toss"/>
    <pivotTable tabId="6" name="MOM"/>
    <pivotTable tabId="4" name="toss decision"/>
  </pivotTables>
  <data>
    <tabular pivotCacheId="158052151">
      <items count="18">
        <i x="0"/>
        <i x="1"/>
        <i x="2"/>
        <i x="3"/>
        <i x="4"/>
        <i x="5"/>
        <i x="6"/>
        <i x="7"/>
        <i x="8"/>
        <i x="9"/>
        <i x="10"/>
        <i x="11" s="1"/>
        <i x="12"/>
        <i x="13"/>
        <i x="14"/>
        <i x="15"/>
        <i x="16"/>
        <i x="1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338D4F4F-D0AA-475D-B875-589DCE549FD9}" cache="Slicer_season" caption="sea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DC709D61-3E27-4295-977D-03B55D963562}" cache="Slicer_season" caption="seas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751AD79F-06F1-489F-873B-A74CF0FEDF8C}" cache="Slicer_season" caption="seas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2A8319DC-A192-40C3-871F-31C0F326A7AB}" cache="Slicer_season" caption="season" columnCount="6"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68F9895-DCB0-456F-9E17-5C2C32BCCCC6}" name="winners5" displayName="winners5" ref="E10:I28" totalsRowShown="0" headerRowDxfId="13" dataDxfId="12">
  <autoFilter ref="E10:I28" xr:uid="{468F9895-DCB0-456F-9E17-5C2C32BCCCC6}"/>
  <tableColumns count="5">
    <tableColumn id="1" xr3:uid="{DE276168-D46F-46EF-97A0-59A5D84E2588}" name="Year" dataDxfId="11"/>
    <tableColumn id="2" xr3:uid="{AD3F7119-42D2-4268-99C6-9648865B43AD}" name="Winner" dataDxfId="10"/>
    <tableColumn id="3" xr3:uid="{2767FC26-3BCB-4998-8744-F8F05BA291FB}" name="Runner-up" dataDxfId="9"/>
    <tableColumn id="4" xr3:uid="{127BC920-27D8-418E-A3BF-543AA91F6261}" name="Player of the Match (Final)" dataDxfId="8"/>
    <tableColumn id="5" xr3:uid="{6C7A0271-2307-4751-95CA-CA1839A30AF5}" name="Player of the Season (MVP)"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64818F-AEBF-4300-8947-2BDDFC7F3187}" name="IPL" displayName="IPL" ref="A1:K1170" totalsRowShown="0">
  <autoFilter ref="A1:K1170" xr:uid="{A364818F-AEBF-4300-8947-2BDDFC7F3187}"/>
  <tableColumns count="11">
    <tableColumn id="1" xr3:uid="{2CD1A3A9-6A11-495D-86C0-E0C2D7ED5BF3}" name="team1"/>
    <tableColumn id="2" xr3:uid="{39023FFD-1144-4FF8-8A6D-229537F96817}" name="team2"/>
    <tableColumn id="3" xr3:uid="{4A69953D-8837-4A1F-9B46-016C2D6F5D8C}" name="season">
      <calculatedColumnFormula>_xlfn.CONCAT("IPL-",D2)</calculatedColumnFormula>
    </tableColumn>
    <tableColumn id="4" xr3:uid="{334C022D-CD3A-4604-BC7C-6C557E23E6C0}" name="year">
      <calculatedColumnFormula>YEAR(E2)</calculatedColumnFormula>
    </tableColumn>
    <tableColumn id="5" xr3:uid="{1C2D9C79-E2CD-448E-AF8E-32FD629E246C}" name="match_date" dataDxfId="15"/>
    <tableColumn id="6" xr3:uid="{C652A788-DE54-4544-B9B7-FFD6FF5D3F7A}" name="toss_winner"/>
    <tableColumn id="7" xr3:uid="{CCD865B9-61E2-4B83-8CEF-B892FE46402E}" name="toss_decision"/>
    <tableColumn id="11" xr3:uid="{4E50C01F-AE76-482C-AA80-7CD7C3EEB00E}" name="result" dataDxfId="14">
      <calculatedColumnFormula>IF(F2=I2,"WIN","LOSS")</calculatedColumnFormula>
    </tableColumn>
    <tableColumn id="8" xr3:uid="{2A7B2B61-ADB2-4EAE-922F-43FCCB7E013B}" name="winner"/>
    <tableColumn id="9" xr3:uid="{FD2163B0-527B-4805-A41F-CD552F231746}" name="player_of_match"/>
    <tableColumn id="10" xr3:uid="{89A7D4A8-F627-4A6B-B59F-1211B7B946C2}" name="ven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04BCD5-B524-42A5-9C2F-34CE0BA250BF}" name="winners" displayName="winners" ref="A1:E19" totalsRowShown="0" headerRowDxfId="6" dataDxfId="5">
  <autoFilter ref="A1:E19" xr:uid="{F604BCD5-B524-42A5-9C2F-34CE0BA250BF}"/>
  <tableColumns count="5">
    <tableColumn id="1" xr3:uid="{98FAAE60-4CF8-4641-9BA7-1086FA80255D}" name="Year" dataDxfId="4"/>
    <tableColumn id="2" xr3:uid="{94FCC481-8EA2-43DB-972C-AFF05972F488}" name="Winner" dataDxfId="3"/>
    <tableColumn id="3" xr3:uid="{614A97BD-6A73-49E4-A4B0-3682119E1C02}" name="Runner-up" dataDxfId="2"/>
    <tableColumn id="4" xr3:uid="{CD57F22D-FC9A-43B2-8ED6-2E4D15BC246E}" name="Player of the Match (Final)" dataDxfId="1"/>
    <tableColumn id="5" xr3:uid="{749CC708-1B80-4094-BD2A-771C486FE0BD}" name="Player of the Season (MVP)"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0CDB7-6074-481C-9D61-C985C1F456C3}">
  <dimension ref="A3:D14"/>
  <sheetViews>
    <sheetView topLeftCell="A2" zoomScaleNormal="100" workbookViewId="0">
      <selection activeCell="R11" sqref="R11"/>
    </sheetView>
  </sheetViews>
  <sheetFormatPr defaultRowHeight="14.4" x14ac:dyDescent="0.3"/>
  <cols>
    <col min="1" max="1" width="24.33203125" bestFit="1" customWidth="1"/>
    <col min="2" max="2" width="15.5546875" bestFit="1" customWidth="1"/>
    <col min="3" max="3" width="4.6640625" bestFit="1" customWidth="1"/>
    <col min="4" max="4" width="10.77734375" bestFit="1" customWidth="1"/>
  </cols>
  <sheetData>
    <row r="3" spans="1:4" x14ac:dyDescent="0.3">
      <c r="A3" s="4" t="s">
        <v>437</v>
      </c>
      <c r="B3" s="4" t="s">
        <v>438</v>
      </c>
    </row>
    <row r="4" spans="1:4" x14ac:dyDescent="0.3">
      <c r="A4" s="4" t="s">
        <v>434</v>
      </c>
      <c r="B4" t="s">
        <v>18</v>
      </c>
      <c r="C4" t="s">
        <v>12</v>
      </c>
      <c r="D4" t="s">
        <v>436</v>
      </c>
    </row>
    <row r="5" spans="1:4" x14ac:dyDescent="0.3">
      <c r="A5" s="5" t="s">
        <v>17</v>
      </c>
      <c r="B5">
        <v>2</v>
      </c>
      <c r="C5">
        <v>8</v>
      </c>
      <c r="D5">
        <v>10</v>
      </c>
    </row>
    <row r="6" spans="1:4" x14ac:dyDescent="0.3">
      <c r="A6" s="5" t="s">
        <v>25</v>
      </c>
      <c r="B6">
        <v>3</v>
      </c>
      <c r="C6">
        <v>7</v>
      </c>
      <c r="D6">
        <v>10</v>
      </c>
    </row>
    <row r="7" spans="1:4" x14ac:dyDescent="0.3">
      <c r="A7" s="5" t="s">
        <v>281</v>
      </c>
      <c r="B7">
        <v>2</v>
      </c>
      <c r="C7">
        <v>7</v>
      </c>
      <c r="D7">
        <v>9</v>
      </c>
    </row>
    <row r="8" spans="1:4" x14ac:dyDescent="0.3">
      <c r="A8" s="5" t="s">
        <v>11</v>
      </c>
      <c r="C8">
        <v>6</v>
      </c>
      <c r="D8">
        <v>6</v>
      </c>
    </row>
    <row r="9" spans="1:4" x14ac:dyDescent="0.3">
      <c r="A9" s="5" t="s">
        <v>16</v>
      </c>
      <c r="C9">
        <v>6</v>
      </c>
      <c r="D9">
        <v>6</v>
      </c>
    </row>
    <row r="10" spans="1:4" x14ac:dyDescent="0.3">
      <c r="A10" s="5" t="s">
        <v>187</v>
      </c>
      <c r="B10">
        <v>2</v>
      </c>
      <c r="C10">
        <v>4</v>
      </c>
      <c r="D10">
        <v>6</v>
      </c>
    </row>
    <row r="11" spans="1:4" x14ac:dyDescent="0.3">
      <c r="A11" s="5" t="s">
        <v>10</v>
      </c>
      <c r="C11">
        <v>5</v>
      </c>
      <c r="D11">
        <v>5</v>
      </c>
    </row>
    <row r="12" spans="1:4" x14ac:dyDescent="0.3">
      <c r="A12" s="5" t="s">
        <v>22</v>
      </c>
      <c r="C12">
        <v>5</v>
      </c>
      <c r="D12">
        <v>5</v>
      </c>
    </row>
    <row r="13" spans="1:4" x14ac:dyDescent="0.3">
      <c r="A13" s="5" t="s">
        <v>435</v>
      </c>
      <c r="B13">
        <v>1</v>
      </c>
      <c r="C13">
        <v>2</v>
      </c>
      <c r="D13">
        <v>3</v>
      </c>
    </row>
    <row r="14" spans="1:4" x14ac:dyDescent="0.3">
      <c r="A14" s="5" t="s">
        <v>436</v>
      </c>
      <c r="B14">
        <v>10</v>
      </c>
      <c r="C14">
        <v>50</v>
      </c>
      <c r="D14">
        <v>60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8F9A9-EDB8-41B8-94A8-3793F60AAB38}">
  <dimension ref="A3:B6"/>
  <sheetViews>
    <sheetView workbookViewId="0">
      <selection activeCell="B5" sqref="B5"/>
    </sheetView>
  </sheetViews>
  <sheetFormatPr defaultRowHeight="14.4" x14ac:dyDescent="0.3"/>
  <cols>
    <col min="1" max="1" width="12.5546875" bestFit="1" customWidth="1"/>
    <col min="2" max="2" width="13.5546875" bestFit="1" customWidth="1"/>
  </cols>
  <sheetData>
    <row r="3" spans="1:2" x14ac:dyDescent="0.3">
      <c r="A3" s="4" t="s">
        <v>434</v>
      </c>
      <c r="B3" t="s">
        <v>439</v>
      </c>
    </row>
    <row r="4" spans="1:2" x14ac:dyDescent="0.3">
      <c r="A4" s="5" t="s">
        <v>18</v>
      </c>
      <c r="B4">
        <v>10</v>
      </c>
    </row>
    <row r="5" spans="1:2" x14ac:dyDescent="0.3">
      <c r="A5" s="5" t="s">
        <v>12</v>
      </c>
      <c r="B5">
        <v>50</v>
      </c>
    </row>
    <row r="6" spans="1:2" x14ac:dyDescent="0.3">
      <c r="A6" s="5" t="s">
        <v>436</v>
      </c>
      <c r="B6">
        <v>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7F15D-FCB8-4F57-9413-C6C8A078F6D8}">
  <dimension ref="A3:D14"/>
  <sheetViews>
    <sheetView workbookViewId="0">
      <selection activeCell="T2" sqref="T2"/>
    </sheetView>
  </sheetViews>
  <sheetFormatPr defaultRowHeight="14.4" x14ac:dyDescent="0.3"/>
  <cols>
    <col min="1" max="1" width="45.6640625" bestFit="1" customWidth="1"/>
    <col min="2" max="2" width="15.5546875" bestFit="1" customWidth="1"/>
    <col min="3" max="3" width="4.6640625" bestFit="1" customWidth="1"/>
    <col min="4" max="4" width="10.77734375" bestFit="1" customWidth="1"/>
  </cols>
  <sheetData>
    <row r="3" spans="1:4" x14ac:dyDescent="0.3">
      <c r="A3" s="4" t="s">
        <v>440</v>
      </c>
      <c r="B3" s="4" t="s">
        <v>438</v>
      </c>
    </row>
    <row r="4" spans="1:4" x14ac:dyDescent="0.3">
      <c r="A4" s="4" t="s">
        <v>434</v>
      </c>
      <c r="B4" t="s">
        <v>18</v>
      </c>
      <c r="C4" t="s">
        <v>12</v>
      </c>
      <c r="D4" t="s">
        <v>436</v>
      </c>
    </row>
    <row r="5" spans="1:4" x14ac:dyDescent="0.3">
      <c r="A5" s="5" t="s">
        <v>168</v>
      </c>
      <c r="C5">
        <v>2</v>
      </c>
      <c r="D5">
        <v>2</v>
      </c>
    </row>
    <row r="6" spans="1:4" x14ac:dyDescent="0.3">
      <c r="A6" s="5" t="s">
        <v>250</v>
      </c>
      <c r="C6">
        <v>6</v>
      </c>
      <c r="D6">
        <v>6</v>
      </c>
    </row>
    <row r="7" spans="1:4" x14ac:dyDescent="0.3">
      <c r="A7" s="5" t="s">
        <v>274</v>
      </c>
      <c r="B7">
        <v>4</v>
      </c>
      <c r="C7">
        <v>2</v>
      </c>
      <c r="D7">
        <v>6</v>
      </c>
    </row>
    <row r="8" spans="1:4" x14ac:dyDescent="0.3">
      <c r="A8" s="5" t="s">
        <v>27</v>
      </c>
      <c r="C8">
        <v>6</v>
      </c>
      <c r="D8">
        <v>6</v>
      </c>
    </row>
    <row r="9" spans="1:4" x14ac:dyDescent="0.3">
      <c r="A9" s="5" t="s">
        <v>30</v>
      </c>
      <c r="C9">
        <v>7</v>
      </c>
      <c r="D9">
        <v>7</v>
      </c>
    </row>
    <row r="10" spans="1:4" x14ac:dyDescent="0.3">
      <c r="A10" s="5" t="s">
        <v>266</v>
      </c>
      <c r="C10">
        <v>7</v>
      </c>
      <c r="D10">
        <v>7</v>
      </c>
    </row>
    <row r="11" spans="1:4" x14ac:dyDescent="0.3">
      <c r="A11" s="5" t="s">
        <v>32</v>
      </c>
      <c r="C11">
        <v>7</v>
      </c>
      <c r="D11">
        <v>7</v>
      </c>
    </row>
    <row r="12" spans="1:4" x14ac:dyDescent="0.3">
      <c r="A12" s="5" t="s">
        <v>269</v>
      </c>
      <c r="B12">
        <v>2</v>
      </c>
      <c r="C12">
        <v>6</v>
      </c>
      <c r="D12">
        <v>8</v>
      </c>
    </row>
    <row r="13" spans="1:4" x14ac:dyDescent="0.3">
      <c r="A13" s="5" t="s">
        <v>267</v>
      </c>
      <c r="B13">
        <v>3</v>
      </c>
      <c r="C13">
        <v>5</v>
      </c>
      <c r="D13">
        <v>8</v>
      </c>
    </row>
    <row r="14" spans="1:4" x14ac:dyDescent="0.3">
      <c r="A14" s="5" t="s">
        <v>436</v>
      </c>
      <c r="B14">
        <v>9</v>
      </c>
      <c r="C14">
        <v>48</v>
      </c>
      <c r="D14">
        <v>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16AA9-ED40-4260-81BC-BCEEDF730813}">
  <dimension ref="A3:E16"/>
  <sheetViews>
    <sheetView workbookViewId="0">
      <selection activeCell="H10" sqref="H10"/>
    </sheetView>
  </sheetViews>
  <sheetFormatPr defaultRowHeight="14.4" x14ac:dyDescent="0.3"/>
  <cols>
    <col min="1" max="1" width="14.109375" bestFit="1" customWidth="1"/>
    <col min="2" max="2" width="23.44140625" bestFit="1" customWidth="1"/>
    <col min="4" max="4" width="11.33203125" bestFit="1" customWidth="1"/>
    <col min="5" max="5" width="10.88671875" bestFit="1" customWidth="1"/>
  </cols>
  <sheetData>
    <row r="3" spans="1:5" x14ac:dyDescent="0.3">
      <c r="A3" s="4" t="s">
        <v>434</v>
      </c>
      <c r="B3" t="s">
        <v>441</v>
      </c>
      <c r="D3" t="s">
        <v>445</v>
      </c>
      <c r="E3" t="s">
        <v>446</v>
      </c>
    </row>
    <row r="4" spans="1:5" x14ac:dyDescent="0.3">
      <c r="A4" s="5" t="s">
        <v>221</v>
      </c>
      <c r="B4">
        <v>4</v>
      </c>
      <c r="D4" t="str">
        <f>A4</f>
        <v>AD Russell</v>
      </c>
      <c r="E4">
        <f>GETPIVOTDATA("player_of_match",$A$3,"player_of_match",A4)</f>
        <v>4</v>
      </c>
    </row>
    <row r="5" spans="1:5" x14ac:dyDescent="0.3">
      <c r="A5" s="5" t="s">
        <v>242</v>
      </c>
      <c r="B5">
        <v>3</v>
      </c>
      <c r="D5" t="str">
        <f t="shared" ref="D5:D13" si="0">A5</f>
        <v>RR Pant</v>
      </c>
      <c r="E5">
        <f t="shared" ref="E5:E13" si="1">GETPIVOTDATA("player_of_match",$A$3,"player_of_match",A5)</f>
        <v>3</v>
      </c>
    </row>
    <row r="6" spans="1:5" x14ac:dyDescent="0.3">
      <c r="A6" s="5" t="s">
        <v>43</v>
      </c>
      <c r="B6">
        <v>3</v>
      </c>
      <c r="D6" t="str">
        <f t="shared" si="0"/>
        <v>MS Dhoni</v>
      </c>
      <c r="E6">
        <f t="shared" si="1"/>
        <v>3</v>
      </c>
    </row>
    <row r="7" spans="1:5" x14ac:dyDescent="0.3">
      <c r="A7" s="5" t="s">
        <v>228</v>
      </c>
      <c r="B7">
        <v>3</v>
      </c>
      <c r="D7" t="str">
        <f t="shared" si="0"/>
        <v>HH Pandya</v>
      </c>
      <c r="E7">
        <f t="shared" si="1"/>
        <v>3</v>
      </c>
    </row>
    <row r="8" spans="1:5" x14ac:dyDescent="0.3">
      <c r="A8" s="5" t="s">
        <v>253</v>
      </c>
      <c r="B8">
        <v>3</v>
      </c>
      <c r="D8" t="str">
        <f t="shared" si="0"/>
        <v>JJ Bumrah</v>
      </c>
      <c r="E8">
        <f t="shared" si="1"/>
        <v>3</v>
      </c>
    </row>
    <row r="9" spans="1:5" x14ac:dyDescent="0.3">
      <c r="A9" s="5" t="s">
        <v>79</v>
      </c>
      <c r="B9">
        <v>2</v>
      </c>
      <c r="D9" t="str">
        <f t="shared" si="0"/>
        <v>AB de Villiers</v>
      </c>
      <c r="E9">
        <f t="shared" si="1"/>
        <v>2</v>
      </c>
    </row>
    <row r="10" spans="1:5" x14ac:dyDescent="0.3">
      <c r="A10" s="5" t="s">
        <v>162</v>
      </c>
      <c r="B10">
        <v>2</v>
      </c>
      <c r="D10" t="str">
        <f t="shared" si="0"/>
        <v>S Dhawan</v>
      </c>
      <c r="E10">
        <f t="shared" si="1"/>
        <v>2</v>
      </c>
    </row>
    <row r="11" spans="1:5" x14ac:dyDescent="0.3">
      <c r="A11" s="5" t="s">
        <v>121</v>
      </c>
      <c r="B11">
        <v>2</v>
      </c>
      <c r="D11" t="str">
        <f t="shared" si="0"/>
        <v>DA Warner</v>
      </c>
      <c r="E11">
        <f t="shared" si="1"/>
        <v>2</v>
      </c>
    </row>
    <row r="12" spans="1:5" x14ac:dyDescent="0.3">
      <c r="A12" s="5" t="s">
        <v>283</v>
      </c>
      <c r="B12">
        <v>2</v>
      </c>
      <c r="D12" t="str">
        <f t="shared" si="0"/>
        <v>JM Bairstow</v>
      </c>
      <c r="E12">
        <f t="shared" si="1"/>
        <v>2</v>
      </c>
    </row>
    <row r="13" spans="1:5" x14ac:dyDescent="0.3">
      <c r="A13" s="5" t="s">
        <v>31</v>
      </c>
      <c r="B13">
        <v>2</v>
      </c>
      <c r="D13" t="str">
        <f t="shared" si="0"/>
        <v>SR Watson</v>
      </c>
      <c r="E13">
        <f t="shared" si="1"/>
        <v>2</v>
      </c>
    </row>
    <row r="14" spans="1:5" x14ac:dyDescent="0.3">
      <c r="A14" s="5" t="s">
        <v>265</v>
      </c>
      <c r="B14">
        <v>2</v>
      </c>
    </row>
    <row r="15" spans="1:5" x14ac:dyDescent="0.3">
      <c r="A15" s="5" t="s">
        <v>99</v>
      </c>
      <c r="B15">
        <v>2</v>
      </c>
    </row>
    <row r="16" spans="1:5" x14ac:dyDescent="0.3">
      <c r="A16" s="5" t="s">
        <v>436</v>
      </c>
      <c r="B16">
        <v>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20CEE-397C-4519-BE9D-8C08F07DEF31}">
  <dimension ref="A2:I28"/>
  <sheetViews>
    <sheetView workbookViewId="0">
      <selection activeCell="U10" sqref="U10"/>
    </sheetView>
  </sheetViews>
  <sheetFormatPr defaultRowHeight="14.4" x14ac:dyDescent="0.3"/>
  <cols>
    <col min="1" max="1" width="12.5546875" bestFit="1" customWidth="1"/>
    <col min="5" max="5" width="9.109375" bestFit="1" customWidth="1"/>
    <col min="6" max="6" width="24.21875" bestFit="1" customWidth="1"/>
    <col min="7" max="7" width="24.33203125" bestFit="1" customWidth="1"/>
    <col min="8" max="8" width="28" bestFit="1" customWidth="1"/>
    <col min="9" max="9" width="28.77734375" bestFit="1" customWidth="1"/>
  </cols>
  <sheetData>
    <row r="2" spans="1:9" x14ac:dyDescent="0.3">
      <c r="E2" s="6" t="s">
        <v>400</v>
      </c>
      <c r="F2" s="7" t="s">
        <v>401</v>
      </c>
      <c r="G2" s="7" t="s">
        <v>402</v>
      </c>
      <c r="H2" s="7" t="s">
        <v>403</v>
      </c>
      <c r="I2" s="8" t="s">
        <v>404</v>
      </c>
    </row>
    <row r="3" spans="1:9" x14ac:dyDescent="0.3">
      <c r="A3" s="4" t="s">
        <v>434</v>
      </c>
      <c r="E3" t="str">
        <f>A4</f>
        <v>IPL-2019</v>
      </c>
      <c r="F3" t="str">
        <f>VLOOKUP(E3,winners5[],2,FALSE)</f>
        <v>Mumbai Indians</v>
      </c>
      <c r="G3" t="str">
        <f>VLOOKUP($E$3,E11:I28,3,FALSE)</f>
        <v>Chennai Super Kings</v>
      </c>
      <c r="H3" t="str">
        <f>VLOOKUP($E$3,E11:I28,4,FALSE)</f>
        <v>Jasprit Bumrah</v>
      </c>
      <c r="I3" t="str">
        <f>VLOOKUP($E$3,winners5[],5,FALSE)</f>
        <v>Andre Russell</v>
      </c>
    </row>
    <row r="4" spans="1:9" x14ac:dyDescent="0.3">
      <c r="A4" s="5" t="s">
        <v>457</v>
      </c>
    </row>
    <row r="5" spans="1:9" x14ac:dyDescent="0.3">
      <c r="A5" s="5" t="s">
        <v>436</v>
      </c>
    </row>
    <row r="7" spans="1:9" ht="22.8" customHeight="1" x14ac:dyDescent="0.3"/>
    <row r="8" spans="1:9" ht="10.8" customHeight="1" x14ac:dyDescent="0.3"/>
    <row r="9" spans="1:9" ht="27" customHeight="1" x14ac:dyDescent="0.3"/>
    <row r="10" spans="1:9" ht="27" customHeight="1" x14ac:dyDescent="0.3">
      <c r="E10" s="2" t="s">
        <v>400</v>
      </c>
      <c r="F10" s="2" t="s">
        <v>401</v>
      </c>
      <c r="G10" s="2" t="s">
        <v>402</v>
      </c>
      <c r="H10" s="2" t="s">
        <v>403</v>
      </c>
      <c r="I10" s="2" t="s">
        <v>404</v>
      </c>
    </row>
    <row r="11" spans="1:9" ht="34.799999999999997" customHeight="1" x14ac:dyDescent="0.3">
      <c r="E11" s="3" t="s">
        <v>444</v>
      </c>
      <c r="F11" s="3" t="s">
        <v>22</v>
      </c>
      <c r="G11" s="3" t="s">
        <v>17</v>
      </c>
      <c r="H11" s="3" t="s">
        <v>405</v>
      </c>
      <c r="I11" s="3" t="s">
        <v>406</v>
      </c>
    </row>
    <row r="12" spans="1:9" ht="40.799999999999997" customHeight="1" x14ac:dyDescent="0.3">
      <c r="E12" s="3" t="s">
        <v>443</v>
      </c>
      <c r="F12" s="3" t="s">
        <v>28</v>
      </c>
      <c r="G12" s="3" t="s">
        <v>10</v>
      </c>
      <c r="H12" s="3" t="s">
        <v>407</v>
      </c>
      <c r="I12" s="3" t="s">
        <v>408</v>
      </c>
    </row>
    <row r="13" spans="1:9" ht="27" customHeight="1" x14ac:dyDescent="0.3">
      <c r="E13" s="3" t="s">
        <v>442</v>
      </c>
      <c r="F13" s="3" t="s">
        <v>17</v>
      </c>
      <c r="G13" s="3" t="s">
        <v>25</v>
      </c>
      <c r="H13" s="3" t="s">
        <v>409</v>
      </c>
      <c r="I13" s="3" t="s">
        <v>410</v>
      </c>
    </row>
    <row r="14" spans="1:9" ht="12.6" customHeight="1" x14ac:dyDescent="0.3">
      <c r="E14" s="3" t="s">
        <v>449</v>
      </c>
      <c r="F14" s="3" t="s">
        <v>17</v>
      </c>
      <c r="G14" s="3" t="s">
        <v>10</v>
      </c>
      <c r="H14" s="3" t="s">
        <v>411</v>
      </c>
      <c r="I14" s="3" t="s">
        <v>412</v>
      </c>
    </row>
    <row r="15" spans="1:9" ht="36.6" customHeight="1" x14ac:dyDescent="0.3">
      <c r="E15" s="3" t="s">
        <v>450</v>
      </c>
      <c r="F15" s="3" t="s">
        <v>11</v>
      </c>
      <c r="G15" s="3" t="s">
        <v>17</v>
      </c>
      <c r="H15" s="3" t="s">
        <v>413</v>
      </c>
      <c r="I15" s="3" t="s">
        <v>414</v>
      </c>
    </row>
    <row r="16" spans="1:9" ht="39" customHeight="1" x14ac:dyDescent="0.3">
      <c r="E16" s="3" t="s">
        <v>451</v>
      </c>
      <c r="F16" s="3" t="s">
        <v>25</v>
      </c>
      <c r="G16" s="3" t="s">
        <v>17</v>
      </c>
      <c r="H16" s="3" t="s">
        <v>415</v>
      </c>
      <c r="I16" s="3" t="s">
        <v>406</v>
      </c>
    </row>
    <row r="17" spans="3:9" ht="24.6" customHeight="1" x14ac:dyDescent="0.3">
      <c r="E17" s="3" t="s">
        <v>452</v>
      </c>
      <c r="F17" s="3" t="s">
        <v>11</v>
      </c>
      <c r="G17" s="3" t="s">
        <v>16</v>
      </c>
      <c r="H17" s="3" t="s">
        <v>416</v>
      </c>
      <c r="I17" s="3" t="s">
        <v>417</v>
      </c>
    </row>
    <row r="18" spans="3:9" ht="33" customHeight="1" x14ac:dyDescent="0.3">
      <c r="E18" s="3" t="s">
        <v>453</v>
      </c>
      <c r="F18" s="3" t="s">
        <v>25</v>
      </c>
      <c r="G18" s="3" t="s">
        <v>17</v>
      </c>
      <c r="H18" s="3" t="s">
        <v>418</v>
      </c>
      <c r="I18" s="3" t="s">
        <v>419</v>
      </c>
    </row>
    <row r="19" spans="3:9" ht="25.2" customHeight="1" x14ac:dyDescent="0.3">
      <c r="E19" s="3" t="s">
        <v>454</v>
      </c>
      <c r="F19" s="3" t="s">
        <v>187</v>
      </c>
      <c r="G19" s="3" t="s">
        <v>10</v>
      </c>
      <c r="H19" s="3" t="s">
        <v>420</v>
      </c>
      <c r="I19" s="3" t="s">
        <v>421</v>
      </c>
    </row>
    <row r="20" spans="3:9" ht="18" customHeight="1" x14ac:dyDescent="0.3">
      <c r="E20" s="3" t="s">
        <v>455</v>
      </c>
      <c r="F20" s="3" t="s">
        <v>25</v>
      </c>
      <c r="G20" s="3" t="s">
        <v>249</v>
      </c>
      <c r="H20" s="3" t="s">
        <v>422</v>
      </c>
      <c r="I20" s="3" t="s">
        <v>423</v>
      </c>
    </row>
    <row r="21" spans="3:9" ht="25.2" customHeight="1" x14ac:dyDescent="0.3">
      <c r="E21" s="3" t="s">
        <v>456</v>
      </c>
      <c r="F21" s="3" t="s">
        <v>17</v>
      </c>
      <c r="G21" s="3" t="s">
        <v>187</v>
      </c>
      <c r="H21" s="3" t="s">
        <v>406</v>
      </c>
      <c r="I21" s="3" t="s">
        <v>414</v>
      </c>
    </row>
    <row r="22" spans="3:9" ht="33" customHeight="1" x14ac:dyDescent="0.3">
      <c r="E22" s="3" t="s">
        <v>457</v>
      </c>
      <c r="F22" s="3" t="s">
        <v>25</v>
      </c>
      <c r="G22" s="3" t="s">
        <v>17</v>
      </c>
      <c r="H22" s="3" t="s">
        <v>424</v>
      </c>
      <c r="I22" s="3" t="s">
        <v>419</v>
      </c>
    </row>
    <row r="23" spans="3:9" ht="25.8" customHeight="1" x14ac:dyDescent="0.3">
      <c r="E23" s="3" t="s">
        <v>458</v>
      </c>
      <c r="F23" s="3" t="s">
        <v>25</v>
      </c>
      <c r="G23" s="3" t="s">
        <v>281</v>
      </c>
      <c r="H23" s="3" t="s">
        <v>425</v>
      </c>
      <c r="I23" s="3" t="s">
        <v>426</v>
      </c>
    </row>
    <row r="24" spans="3:9" ht="49.8" customHeight="1" x14ac:dyDescent="0.3">
      <c r="E24" s="3" t="s">
        <v>459</v>
      </c>
      <c r="F24" s="3" t="s">
        <v>17</v>
      </c>
      <c r="G24" s="3" t="s">
        <v>11</v>
      </c>
      <c r="H24" s="3" t="s">
        <v>427</v>
      </c>
      <c r="I24" s="3" t="s">
        <v>428</v>
      </c>
    </row>
    <row r="25" spans="3:9" ht="49.8" customHeight="1" x14ac:dyDescent="0.3">
      <c r="C25" t="s">
        <v>464</v>
      </c>
      <c r="E25" s="3" t="s">
        <v>460</v>
      </c>
      <c r="F25" s="3" t="s">
        <v>320</v>
      </c>
      <c r="G25" s="3" t="s">
        <v>22</v>
      </c>
      <c r="H25" s="3" t="s">
        <v>429</v>
      </c>
      <c r="I25" s="3" t="s">
        <v>430</v>
      </c>
    </row>
    <row r="26" spans="3:9" ht="28.2" customHeight="1" x14ac:dyDescent="0.3">
      <c r="E26" s="3" t="s">
        <v>461</v>
      </c>
      <c r="F26" s="3" t="s">
        <v>17</v>
      </c>
      <c r="G26" s="3" t="s">
        <v>320</v>
      </c>
      <c r="H26" s="3" t="s">
        <v>431</v>
      </c>
      <c r="I26" s="3" t="s">
        <v>292</v>
      </c>
    </row>
    <row r="27" spans="3:9" ht="28.2" customHeight="1" x14ac:dyDescent="0.3">
      <c r="E27" s="3" t="s">
        <v>462</v>
      </c>
      <c r="F27" s="3" t="s">
        <v>11</v>
      </c>
      <c r="G27" s="3" t="s">
        <v>187</v>
      </c>
      <c r="H27" s="3" t="s">
        <v>432</v>
      </c>
      <c r="I27" s="3" t="s">
        <v>414</v>
      </c>
    </row>
    <row r="28" spans="3:9" x14ac:dyDescent="0.3">
      <c r="E28" s="3" t="s">
        <v>463</v>
      </c>
      <c r="F28" s="3" t="s">
        <v>367</v>
      </c>
      <c r="G28" s="3" t="s">
        <v>304</v>
      </c>
      <c r="H28" s="3" t="s">
        <v>422</v>
      </c>
      <c r="I28" s="3" t="s">
        <v>433</v>
      </c>
    </row>
  </sheetData>
  <phoneticPr fontId="18"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538C2-0541-48FA-B1CE-A3C62EF7639F}">
  <dimension ref="H5:W9"/>
  <sheetViews>
    <sheetView topLeftCell="A25" workbookViewId="0">
      <selection activeCell="K52" sqref="K52"/>
    </sheetView>
  </sheetViews>
  <sheetFormatPr defaultRowHeight="14.4" x14ac:dyDescent="0.3"/>
  <sheetData>
    <row r="5" spans="8:23" x14ac:dyDescent="0.3">
      <c r="H5" s="9"/>
    </row>
    <row r="6" spans="8:23" x14ac:dyDescent="0.3">
      <c r="M6" s="9"/>
    </row>
    <row r="8" spans="8:23" x14ac:dyDescent="0.3">
      <c r="R8" s="9"/>
    </row>
    <row r="9" spans="8:23" x14ac:dyDescent="0.3">
      <c r="W9"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47B06-34C5-4860-A330-F686C3729F59}">
  <dimension ref="A1:K1170"/>
  <sheetViews>
    <sheetView tabSelected="1" workbookViewId="0">
      <selection activeCell="A5" sqref="A5"/>
    </sheetView>
  </sheetViews>
  <sheetFormatPr defaultRowHeight="14.4" x14ac:dyDescent="0.3"/>
  <cols>
    <col min="1" max="2" width="24.33203125" bestFit="1" customWidth="1"/>
    <col min="3" max="4" width="24.33203125" customWidth="1"/>
    <col min="5" max="5" width="13" customWidth="1"/>
    <col min="6" max="6" width="24.33203125" bestFit="1" customWidth="1"/>
    <col min="7" max="7" width="14.109375" customWidth="1"/>
    <col min="8" max="8" width="24.33203125" bestFit="1" customWidth="1"/>
    <col min="9" max="9" width="18" bestFit="1" customWidth="1"/>
    <col min="10" max="10" width="62.6640625" bestFit="1" customWidth="1"/>
  </cols>
  <sheetData>
    <row r="1" spans="1:11" x14ac:dyDescent="0.3">
      <c r="A1" t="s">
        <v>0</v>
      </c>
      <c r="B1" t="s">
        <v>1</v>
      </c>
      <c r="C1" t="s">
        <v>8</v>
      </c>
      <c r="D1" t="s">
        <v>399</v>
      </c>
      <c r="E1" t="s">
        <v>2</v>
      </c>
      <c r="F1" t="s">
        <v>3</v>
      </c>
      <c r="G1" t="s">
        <v>4</v>
      </c>
      <c r="H1" t="s">
        <v>9</v>
      </c>
      <c r="I1" t="s">
        <v>5</v>
      </c>
      <c r="J1" t="s">
        <v>6</v>
      </c>
      <c r="K1" t="s">
        <v>7</v>
      </c>
    </row>
    <row r="2" spans="1:11" x14ac:dyDescent="0.3">
      <c r="A2" t="s">
        <v>10</v>
      </c>
      <c r="B2" t="s">
        <v>11</v>
      </c>
      <c r="C2" t="str">
        <f>_xlfn.CONCAT("IPL-",D2)</f>
        <v>IPL-2008</v>
      </c>
      <c r="D2">
        <f>YEAR(E2)</f>
        <v>2008</v>
      </c>
      <c r="E2" s="1">
        <v>39556</v>
      </c>
      <c r="F2" t="s">
        <v>10</v>
      </c>
      <c r="G2" t="s">
        <v>12</v>
      </c>
      <c r="H2" t="str">
        <f t="shared" ref="H2:H65" si="0">IF(F2=I2,"WIN","LOSS")</f>
        <v>LOSS</v>
      </c>
      <c r="I2" t="s">
        <v>11</v>
      </c>
      <c r="J2" t="s">
        <v>13</v>
      </c>
      <c r="K2" t="s">
        <v>14</v>
      </c>
    </row>
    <row r="3" spans="1:11" x14ac:dyDescent="0.3">
      <c r="A3" t="s">
        <v>16</v>
      </c>
      <c r="B3" t="s">
        <v>17</v>
      </c>
      <c r="C3" t="str">
        <f t="shared" ref="C3:C66" si="1">_xlfn.CONCAT("IPL-",D3)</f>
        <v>IPL-2008</v>
      </c>
      <c r="D3">
        <f t="shared" ref="D3:D66" si="2">YEAR(E3)</f>
        <v>2008</v>
      </c>
      <c r="E3" s="1">
        <v>39557</v>
      </c>
      <c r="F3" t="s">
        <v>17</v>
      </c>
      <c r="G3" t="s">
        <v>18</v>
      </c>
      <c r="H3" t="str">
        <f t="shared" si="0"/>
        <v>WIN</v>
      </c>
      <c r="I3" t="s">
        <v>17</v>
      </c>
      <c r="J3" t="s">
        <v>19</v>
      </c>
      <c r="K3" t="s">
        <v>20</v>
      </c>
    </row>
    <row r="4" spans="1:11" x14ac:dyDescent="0.3">
      <c r="A4" t="s">
        <v>21</v>
      </c>
      <c r="B4" t="s">
        <v>22</v>
      </c>
      <c r="C4" t="str">
        <f t="shared" si="1"/>
        <v>IPL-2008</v>
      </c>
      <c r="D4">
        <f t="shared" si="2"/>
        <v>2008</v>
      </c>
      <c r="E4" s="1">
        <v>39557</v>
      </c>
      <c r="F4" t="s">
        <v>22</v>
      </c>
      <c r="G4" t="s">
        <v>18</v>
      </c>
      <c r="H4" t="str">
        <f t="shared" si="0"/>
        <v>LOSS</v>
      </c>
      <c r="I4" t="s">
        <v>21</v>
      </c>
      <c r="J4" t="s">
        <v>23</v>
      </c>
      <c r="K4" t="s">
        <v>24</v>
      </c>
    </row>
    <row r="5" spans="1:11" x14ac:dyDescent="0.3">
      <c r="A5" t="s">
        <v>25</v>
      </c>
      <c r="B5" t="s">
        <v>10</v>
      </c>
      <c r="C5" t="str">
        <f t="shared" si="1"/>
        <v>IPL-2008</v>
      </c>
      <c r="D5">
        <f t="shared" si="2"/>
        <v>2008</v>
      </c>
      <c r="E5" s="1">
        <v>39558</v>
      </c>
      <c r="F5" t="s">
        <v>25</v>
      </c>
      <c r="G5" t="s">
        <v>18</v>
      </c>
      <c r="H5" t="str">
        <f t="shared" si="0"/>
        <v>LOSS</v>
      </c>
      <c r="I5" t="s">
        <v>10</v>
      </c>
      <c r="J5" t="s">
        <v>26</v>
      </c>
      <c r="K5" t="s">
        <v>27</v>
      </c>
    </row>
    <row r="6" spans="1:11" x14ac:dyDescent="0.3">
      <c r="A6" t="s">
        <v>11</v>
      </c>
      <c r="B6" t="s">
        <v>28</v>
      </c>
      <c r="C6" t="str">
        <f t="shared" si="1"/>
        <v>IPL-2008</v>
      </c>
      <c r="D6">
        <f t="shared" si="2"/>
        <v>2008</v>
      </c>
      <c r="E6" s="1">
        <v>39558</v>
      </c>
      <c r="F6" t="s">
        <v>28</v>
      </c>
      <c r="G6" t="s">
        <v>18</v>
      </c>
      <c r="H6" t="str">
        <f t="shared" si="0"/>
        <v>LOSS</v>
      </c>
      <c r="I6" t="s">
        <v>11</v>
      </c>
      <c r="J6" t="s">
        <v>29</v>
      </c>
      <c r="K6" t="s">
        <v>30</v>
      </c>
    </row>
    <row r="7" spans="1:11" x14ac:dyDescent="0.3">
      <c r="A7" t="s">
        <v>22</v>
      </c>
      <c r="B7" t="s">
        <v>16</v>
      </c>
      <c r="C7" t="str">
        <f t="shared" si="1"/>
        <v>IPL-2008</v>
      </c>
      <c r="D7">
        <f t="shared" si="2"/>
        <v>2008</v>
      </c>
      <c r="E7" s="1">
        <v>39559</v>
      </c>
      <c r="F7" t="s">
        <v>16</v>
      </c>
      <c r="G7" t="s">
        <v>18</v>
      </c>
      <c r="H7" t="str">
        <f t="shared" si="0"/>
        <v>LOSS</v>
      </c>
      <c r="I7" t="s">
        <v>22</v>
      </c>
      <c r="J7" t="s">
        <v>31</v>
      </c>
      <c r="K7" t="s">
        <v>32</v>
      </c>
    </row>
    <row r="8" spans="1:11" x14ac:dyDescent="0.3">
      <c r="A8" t="s">
        <v>28</v>
      </c>
      <c r="B8" t="s">
        <v>21</v>
      </c>
      <c r="C8" t="str">
        <f t="shared" si="1"/>
        <v>IPL-2008</v>
      </c>
      <c r="D8">
        <f t="shared" si="2"/>
        <v>2008</v>
      </c>
      <c r="E8" s="1">
        <v>39560</v>
      </c>
      <c r="F8" t="s">
        <v>28</v>
      </c>
      <c r="G8" t="s">
        <v>18</v>
      </c>
      <c r="H8" t="str">
        <f t="shared" si="0"/>
        <v>LOSS</v>
      </c>
      <c r="I8" t="s">
        <v>21</v>
      </c>
      <c r="J8" t="s">
        <v>33</v>
      </c>
      <c r="K8" t="s">
        <v>34</v>
      </c>
    </row>
    <row r="9" spans="1:11" x14ac:dyDescent="0.3">
      <c r="A9" t="s">
        <v>17</v>
      </c>
      <c r="B9" t="s">
        <v>25</v>
      </c>
      <c r="C9" t="str">
        <f t="shared" si="1"/>
        <v>IPL-2008</v>
      </c>
      <c r="D9">
        <f t="shared" si="2"/>
        <v>2008</v>
      </c>
      <c r="E9" s="1">
        <v>39561</v>
      </c>
      <c r="F9" t="s">
        <v>25</v>
      </c>
      <c r="G9" t="s">
        <v>12</v>
      </c>
      <c r="H9" t="str">
        <f t="shared" si="0"/>
        <v>LOSS</v>
      </c>
      <c r="I9" t="s">
        <v>17</v>
      </c>
      <c r="J9" t="s">
        <v>35</v>
      </c>
      <c r="K9" t="s">
        <v>36</v>
      </c>
    </row>
    <row r="10" spans="1:11" x14ac:dyDescent="0.3">
      <c r="A10" t="s">
        <v>28</v>
      </c>
      <c r="B10" t="s">
        <v>22</v>
      </c>
      <c r="C10" t="str">
        <f t="shared" si="1"/>
        <v>IPL-2008</v>
      </c>
      <c r="D10">
        <f t="shared" si="2"/>
        <v>2008</v>
      </c>
      <c r="E10" s="1">
        <v>39562</v>
      </c>
      <c r="F10" t="s">
        <v>22</v>
      </c>
      <c r="G10" t="s">
        <v>12</v>
      </c>
      <c r="H10" t="str">
        <f t="shared" si="0"/>
        <v>WIN</v>
      </c>
      <c r="I10" t="s">
        <v>22</v>
      </c>
      <c r="J10" t="s">
        <v>37</v>
      </c>
      <c r="K10" t="s">
        <v>34</v>
      </c>
    </row>
    <row r="11" spans="1:11" x14ac:dyDescent="0.3">
      <c r="A11" t="s">
        <v>16</v>
      </c>
      <c r="B11" t="s">
        <v>25</v>
      </c>
      <c r="C11" t="str">
        <f t="shared" si="1"/>
        <v>IPL-2008</v>
      </c>
      <c r="D11">
        <f t="shared" si="2"/>
        <v>2008</v>
      </c>
      <c r="E11" s="1">
        <v>39563</v>
      </c>
      <c r="F11" t="s">
        <v>25</v>
      </c>
      <c r="G11" t="s">
        <v>12</v>
      </c>
      <c r="H11" t="str">
        <f t="shared" si="0"/>
        <v>LOSS</v>
      </c>
      <c r="I11" t="s">
        <v>16</v>
      </c>
      <c r="J11" t="s">
        <v>38</v>
      </c>
      <c r="K11" t="s">
        <v>20</v>
      </c>
    </row>
    <row r="12" spans="1:11" x14ac:dyDescent="0.3">
      <c r="A12" t="s">
        <v>17</v>
      </c>
      <c r="B12" t="s">
        <v>11</v>
      </c>
      <c r="C12" t="str">
        <f t="shared" si="1"/>
        <v>IPL-2008</v>
      </c>
      <c r="D12">
        <f t="shared" si="2"/>
        <v>2008</v>
      </c>
      <c r="E12" s="1">
        <v>39564</v>
      </c>
      <c r="F12" t="s">
        <v>11</v>
      </c>
      <c r="G12" t="s">
        <v>18</v>
      </c>
      <c r="H12" t="str">
        <f t="shared" si="0"/>
        <v>LOSS</v>
      </c>
      <c r="I12" t="s">
        <v>17</v>
      </c>
      <c r="J12" t="s">
        <v>39</v>
      </c>
      <c r="K12" t="s">
        <v>36</v>
      </c>
    </row>
    <row r="13" spans="1:11" x14ac:dyDescent="0.3">
      <c r="A13" t="s">
        <v>10</v>
      </c>
      <c r="B13" t="s">
        <v>22</v>
      </c>
      <c r="C13" t="str">
        <f t="shared" si="1"/>
        <v>IPL-2008</v>
      </c>
      <c r="D13">
        <f t="shared" si="2"/>
        <v>2008</v>
      </c>
      <c r="E13" s="1">
        <v>39564</v>
      </c>
      <c r="F13" t="s">
        <v>22</v>
      </c>
      <c r="G13" t="s">
        <v>12</v>
      </c>
      <c r="H13" t="str">
        <f t="shared" si="0"/>
        <v>WIN</v>
      </c>
      <c r="I13" t="s">
        <v>22</v>
      </c>
      <c r="J13" t="s">
        <v>31</v>
      </c>
      <c r="K13" t="s">
        <v>14</v>
      </c>
    </row>
    <row r="14" spans="1:11" x14ac:dyDescent="0.3">
      <c r="A14" t="s">
        <v>25</v>
      </c>
      <c r="B14" t="s">
        <v>28</v>
      </c>
      <c r="C14" t="str">
        <f t="shared" si="1"/>
        <v>IPL-2008</v>
      </c>
      <c r="D14">
        <f t="shared" si="2"/>
        <v>2008</v>
      </c>
      <c r="E14" s="1">
        <v>39565</v>
      </c>
      <c r="F14" t="s">
        <v>28</v>
      </c>
      <c r="G14" t="s">
        <v>12</v>
      </c>
      <c r="H14" t="str">
        <f t="shared" si="0"/>
        <v>WIN</v>
      </c>
      <c r="I14" t="s">
        <v>28</v>
      </c>
      <c r="J14" t="s">
        <v>40</v>
      </c>
      <c r="K14" t="s">
        <v>41</v>
      </c>
    </row>
    <row r="15" spans="1:11" x14ac:dyDescent="0.3">
      <c r="A15" t="s">
        <v>16</v>
      </c>
      <c r="B15" t="s">
        <v>21</v>
      </c>
      <c r="C15" t="str">
        <f t="shared" si="1"/>
        <v>IPL-2008</v>
      </c>
      <c r="D15">
        <f t="shared" si="2"/>
        <v>2008</v>
      </c>
      <c r="E15" s="1">
        <v>39565</v>
      </c>
      <c r="F15" t="s">
        <v>21</v>
      </c>
      <c r="G15" t="s">
        <v>18</v>
      </c>
      <c r="H15" t="str">
        <f t="shared" si="0"/>
        <v>LOSS</v>
      </c>
      <c r="I15" t="s">
        <v>16</v>
      </c>
      <c r="J15" t="s">
        <v>42</v>
      </c>
      <c r="K15" t="s">
        <v>20</v>
      </c>
    </row>
    <row r="16" spans="1:11" x14ac:dyDescent="0.3">
      <c r="A16" t="s">
        <v>10</v>
      </c>
      <c r="B16" t="s">
        <v>17</v>
      </c>
      <c r="C16" t="str">
        <f t="shared" si="1"/>
        <v>IPL-2008</v>
      </c>
      <c r="D16">
        <f t="shared" si="2"/>
        <v>2008</v>
      </c>
      <c r="E16" s="1">
        <v>39566</v>
      </c>
      <c r="F16" t="s">
        <v>17</v>
      </c>
      <c r="G16" t="s">
        <v>18</v>
      </c>
      <c r="H16" t="str">
        <f t="shared" si="0"/>
        <v>WIN</v>
      </c>
      <c r="I16" t="s">
        <v>17</v>
      </c>
      <c r="J16" t="s">
        <v>43</v>
      </c>
      <c r="K16" t="s">
        <v>14</v>
      </c>
    </row>
    <row r="17" spans="1:11" x14ac:dyDescent="0.3">
      <c r="A17" t="s">
        <v>11</v>
      </c>
      <c r="B17" t="s">
        <v>25</v>
      </c>
      <c r="C17" t="str">
        <f t="shared" si="1"/>
        <v>IPL-2008</v>
      </c>
      <c r="D17">
        <f t="shared" si="2"/>
        <v>2008</v>
      </c>
      <c r="E17" s="1">
        <v>39567</v>
      </c>
      <c r="F17" t="s">
        <v>11</v>
      </c>
      <c r="G17" t="s">
        <v>18</v>
      </c>
      <c r="H17" t="str">
        <f t="shared" si="0"/>
        <v>LOSS</v>
      </c>
      <c r="I17" t="s">
        <v>25</v>
      </c>
      <c r="J17" t="s">
        <v>44</v>
      </c>
      <c r="K17" t="s">
        <v>30</v>
      </c>
    </row>
    <row r="18" spans="1:11" x14ac:dyDescent="0.3">
      <c r="A18" t="s">
        <v>21</v>
      </c>
      <c r="B18" t="s">
        <v>10</v>
      </c>
      <c r="C18" t="str">
        <f t="shared" si="1"/>
        <v>IPL-2008</v>
      </c>
      <c r="D18">
        <f t="shared" si="2"/>
        <v>2008</v>
      </c>
      <c r="E18" s="1">
        <v>39568</v>
      </c>
      <c r="F18" t="s">
        <v>10</v>
      </c>
      <c r="G18" t="s">
        <v>12</v>
      </c>
      <c r="H18" t="str">
        <f t="shared" si="0"/>
        <v>LOSS</v>
      </c>
      <c r="I18" t="s">
        <v>21</v>
      </c>
      <c r="J18" t="s">
        <v>45</v>
      </c>
      <c r="K18" t="s">
        <v>24</v>
      </c>
    </row>
    <row r="19" spans="1:11" x14ac:dyDescent="0.3">
      <c r="A19" t="s">
        <v>22</v>
      </c>
      <c r="B19" t="s">
        <v>11</v>
      </c>
      <c r="C19" t="str">
        <f t="shared" si="1"/>
        <v>IPL-2008</v>
      </c>
      <c r="D19">
        <f t="shared" si="2"/>
        <v>2008</v>
      </c>
      <c r="E19" s="1">
        <v>39569</v>
      </c>
      <c r="F19" t="s">
        <v>22</v>
      </c>
      <c r="G19" t="s">
        <v>18</v>
      </c>
      <c r="H19" t="str">
        <f t="shared" si="0"/>
        <v>WIN</v>
      </c>
      <c r="I19" t="s">
        <v>22</v>
      </c>
      <c r="J19" t="s">
        <v>46</v>
      </c>
      <c r="K19" t="s">
        <v>32</v>
      </c>
    </row>
    <row r="20" spans="1:11" x14ac:dyDescent="0.3">
      <c r="A20" t="s">
        <v>28</v>
      </c>
      <c r="B20" t="s">
        <v>16</v>
      </c>
      <c r="C20" t="str">
        <f t="shared" si="1"/>
        <v>IPL-2008</v>
      </c>
      <c r="D20">
        <f t="shared" si="2"/>
        <v>2008</v>
      </c>
      <c r="E20" s="1">
        <v>39569</v>
      </c>
      <c r="F20" t="s">
        <v>16</v>
      </c>
      <c r="G20" t="s">
        <v>12</v>
      </c>
      <c r="H20" t="str">
        <f t="shared" si="0"/>
        <v>WIN</v>
      </c>
      <c r="I20" t="s">
        <v>16</v>
      </c>
      <c r="J20" t="s">
        <v>47</v>
      </c>
      <c r="K20" t="s">
        <v>34</v>
      </c>
    </row>
    <row r="21" spans="1:11" x14ac:dyDescent="0.3">
      <c r="A21" t="s">
        <v>17</v>
      </c>
      <c r="B21" t="s">
        <v>21</v>
      </c>
      <c r="C21" t="str">
        <f t="shared" si="1"/>
        <v>IPL-2008</v>
      </c>
      <c r="D21">
        <f t="shared" si="2"/>
        <v>2008</v>
      </c>
      <c r="E21" s="1">
        <v>39570</v>
      </c>
      <c r="F21" t="s">
        <v>17</v>
      </c>
      <c r="G21" t="s">
        <v>18</v>
      </c>
      <c r="H21" t="str">
        <f t="shared" si="0"/>
        <v>LOSS</v>
      </c>
      <c r="I21" t="s">
        <v>21</v>
      </c>
      <c r="J21" t="s">
        <v>33</v>
      </c>
      <c r="K21" t="s">
        <v>36</v>
      </c>
    </row>
    <row r="22" spans="1:11" x14ac:dyDescent="0.3">
      <c r="A22" t="s">
        <v>10</v>
      </c>
      <c r="B22" t="s">
        <v>28</v>
      </c>
      <c r="C22" t="str">
        <f t="shared" si="1"/>
        <v>IPL-2008</v>
      </c>
      <c r="D22">
        <f t="shared" si="2"/>
        <v>2008</v>
      </c>
      <c r="E22" s="1">
        <v>39571</v>
      </c>
      <c r="F22" t="s">
        <v>28</v>
      </c>
      <c r="G22" t="s">
        <v>12</v>
      </c>
      <c r="H22" t="str">
        <f t="shared" si="0"/>
        <v>LOSS</v>
      </c>
      <c r="I22" t="s">
        <v>10</v>
      </c>
      <c r="J22" t="s">
        <v>48</v>
      </c>
      <c r="K22" t="s">
        <v>14</v>
      </c>
    </row>
    <row r="23" spans="1:11" x14ac:dyDescent="0.3">
      <c r="A23" t="s">
        <v>16</v>
      </c>
      <c r="B23" t="s">
        <v>11</v>
      </c>
      <c r="C23" t="str">
        <f t="shared" si="1"/>
        <v>IPL-2008</v>
      </c>
      <c r="D23">
        <f t="shared" si="2"/>
        <v>2008</v>
      </c>
      <c r="E23" s="1">
        <v>39571</v>
      </c>
      <c r="F23" t="s">
        <v>16</v>
      </c>
      <c r="G23" t="s">
        <v>18</v>
      </c>
      <c r="H23" t="str">
        <f t="shared" si="0"/>
        <v>WIN</v>
      </c>
      <c r="I23" t="s">
        <v>16</v>
      </c>
      <c r="J23" t="s">
        <v>49</v>
      </c>
      <c r="K23" t="s">
        <v>20</v>
      </c>
    </row>
    <row r="24" spans="1:11" x14ac:dyDescent="0.3">
      <c r="A24" t="s">
        <v>22</v>
      </c>
      <c r="B24" t="s">
        <v>17</v>
      </c>
      <c r="C24" t="str">
        <f t="shared" si="1"/>
        <v>IPL-2008</v>
      </c>
      <c r="D24">
        <f t="shared" si="2"/>
        <v>2008</v>
      </c>
      <c r="E24" s="1">
        <v>39572</v>
      </c>
      <c r="F24" t="s">
        <v>17</v>
      </c>
      <c r="G24" t="s">
        <v>18</v>
      </c>
      <c r="H24" t="str">
        <f t="shared" si="0"/>
        <v>LOSS</v>
      </c>
      <c r="I24" t="s">
        <v>22</v>
      </c>
      <c r="J24" t="s">
        <v>50</v>
      </c>
      <c r="K24" t="s">
        <v>32</v>
      </c>
    </row>
    <row r="25" spans="1:11" x14ac:dyDescent="0.3">
      <c r="A25" t="s">
        <v>25</v>
      </c>
      <c r="B25" t="s">
        <v>21</v>
      </c>
      <c r="C25" t="str">
        <f t="shared" si="1"/>
        <v>IPL-2008</v>
      </c>
      <c r="D25">
        <f t="shared" si="2"/>
        <v>2008</v>
      </c>
      <c r="E25" s="1">
        <v>39572</v>
      </c>
      <c r="F25" t="s">
        <v>21</v>
      </c>
      <c r="G25" t="s">
        <v>12</v>
      </c>
      <c r="H25" t="str">
        <f t="shared" si="0"/>
        <v>LOSS</v>
      </c>
      <c r="I25" t="s">
        <v>25</v>
      </c>
      <c r="J25" t="s">
        <v>51</v>
      </c>
      <c r="K25" t="s">
        <v>41</v>
      </c>
    </row>
    <row r="26" spans="1:11" x14ac:dyDescent="0.3">
      <c r="A26" t="s">
        <v>10</v>
      </c>
      <c r="B26" t="s">
        <v>16</v>
      </c>
      <c r="C26" t="str">
        <f t="shared" si="1"/>
        <v>IPL-2008</v>
      </c>
      <c r="D26">
        <f t="shared" si="2"/>
        <v>2008</v>
      </c>
      <c r="E26" s="1">
        <v>39573</v>
      </c>
      <c r="F26" t="s">
        <v>16</v>
      </c>
      <c r="G26" t="s">
        <v>12</v>
      </c>
      <c r="H26" t="str">
        <f t="shared" si="0"/>
        <v>WIN</v>
      </c>
      <c r="I26" t="s">
        <v>16</v>
      </c>
      <c r="J26" t="s">
        <v>52</v>
      </c>
      <c r="K26" t="s">
        <v>14</v>
      </c>
    </row>
    <row r="27" spans="1:11" x14ac:dyDescent="0.3">
      <c r="A27" t="s">
        <v>17</v>
      </c>
      <c r="B27" t="s">
        <v>28</v>
      </c>
      <c r="C27" t="str">
        <f t="shared" si="1"/>
        <v>IPL-2008</v>
      </c>
      <c r="D27">
        <f t="shared" si="2"/>
        <v>2008</v>
      </c>
      <c r="E27" s="1">
        <v>39574</v>
      </c>
      <c r="F27" t="s">
        <v>28</v>
      </c>
      <c r="G27" t="s">
        <v>12</v>
      </c>
      <c r="H27" t="str">
        <f t="shared" si="0"/>
        <v>WIN</v>
      </c>
      <c r="I27" t="s">
        <v>28</v>
      </c>
      <c r="J27" t="s">
        <v>40</v>
      </c>
      <c r="K27" t="s">
        <v>36</v>
      </c>
    </row>
    <row r="28" spans="1:11" x14ac:dyDescent="0.3">
      <c r="A28" t="s">
        <v>25</v>
      </c>
      <c r="B28" t="s">
        <v>22</v>
      </c>
      <c r="C28" t="str">
        <f t="shared" si="1"/>
        <v>IPL-2008</v>
      </c>
      <c r="D28">
        <f t="shared" si="2"/>
        <v>2008</v>
      </c>
      <c r="E28" s="1">
        <v>39575</v>
      </c>
      <c r="F28" t="s">
        <v>25</v>
      </c>
      <c r="G28" t="s">
        <v>12</v>
      </c>
      <c r="H28" t="str">
        <f t="shared" si="0"/>
        <v>WIN</v>
      </c>
      <c r="I28" t="s">
        <v>25</v>
      </c>
      <c r="J28" t="s">
        <v>53</v>
      </c>
      <c r="K28" t="s">
        <v>41</v>
      </c>
    </row>
    <row r="29" spans="1:11" x14ac:dyDescent="0.3">
      <c r="A29" t="s">
        <v>21</v>
      </c>
      <c r="B29" t="s">
        <v>17</v>
      </c>
      <c r="C29" t="str">
        <f t="shared" si="1"/>
        <v>IPL-2008</v>
      </c>
      <c r="D29">
        <f t="shared" si="2"/>
        <v>2008</v>
      </c>
      <c r="E29" s="1">
        <v>39576</v>
      </c>
      <c r="F29" t="s">
        <v>17</v>
      </c>
      <c r="G29" t="s">
        <v>12</v>
      </c>
      <c r="H29" t="str">
        <f t="shared" si="0"/>
        <v>WIN</v>
      </c>
      <c r="I29" t="s">
        <v>17</v>
      </c>
      <c r="J29" t="s">
        <v>43</v>
      </c>
      <c r="K29" t="s">
        <v>24</v>
      </c>
    </row>
    <row r="30" spans="1:11" x14ac:dyDescent="0.3">
      <c r="A30" t="s">
        <v>11</v>
      </c>
      <c r="B30" t="s">
        <v>10</v>
      </c>
      <c r="C30" t="str">
        <f t="shared" si="1"/>
        <v>IPL-2008</v>
      </c>
      <c r="D30">
        <f t="shared" si="2"/>
        <v>2008</v>
      </c>
      <c r="E30" s="1">
        <v>39576</v>
      </c>
      <c r="F30" t="s">
        <v>11</v>
      </c>
      <c r="G30" t="s">
        <v>18</v>
      </c>
      <c r="H30" t="str">
        <f t="shared" si="0"/>
        <v>WIN</v>
      </c>
      <c r="I30" t="s">
        <v>11</v>
      </c>
      <c r="J30" t="s">
        <v>54</v>
      </c>
      <c r="K30" t="s">
        <v>30</v>
      </c>
    </row>
    <row r="31" spans="1:11" x14ac:dyDescent="0.3">
      <c r="A31" t="s">
        <v>22</v>
      </c>
      <c r="B31" t="s">
        <v>28</v>
      </c>
      <c r="C31" t="str">
        <f t="shared" si="1"/>
        <v>IPL-2008</v>
      </c>
      <c r="D31">
        <f t="shared" si="2"/>
        <v>2008</v>
      </c>
      <c r="E31" s="1">
        <v>39577</v>
      </c>
      <c r="F31" t="s">
        <v>22</v>
      </c>
      <c r="G31" t="s">
        <v>12</v>
      </c>
      <c r="H31" t="str">
        <f t="shared" si="0"/>
        <v>WIN</v>
      </c>
      <c r="I31" t="s">
        <v>22</v>
      </c>
      <c r="J31" t="s">
        <v>37</v>
      </c>
      <c r="K31" t="s">
        <v>32</v>
      </c>
    </row>
    <row r="32" spans="1:11" x14ac:dyDescent="0.3">
      <c r="A32" t="s">
        <v>17</v>
      </c>
      <c r="B32" t="s">
        <v>16</v>
      </c>
      <c r="C32" t="str">
        <f t="shared" si="1"/>
        <v>IPL-2008</v>
      </c>
      <c r="D32">
        <f t="shared" si="2"/>
        <v>2008</v>
      </c>
      <c r="E32" s="1">
        <v>39578</v>
      </c>
      <c r="F32" t="s">
        <v>16</v>
      </c>
      <c r="G32" t="s">
        <v>12</v>
      </c>
      <c r="H32" t="str">
        <f t="shared" si="0"/>
        <v>LOSS</v>
      </c>
      <c r="I32" t="s">
        <v>17</v>
      </c>
      <c r="J32" t="s">
        <v>55</v>
      </c>
      <c r="K32" t="s">
        <v>36</v>
      </c>
    </row>
    <row r="33" spans="1:11" x14ac:dyDescent="0.3">
      <c r="A33" t="s">
        <v>22</v>
      </c>
      <c r="B33" t="s">
        <v>21</v>
      </c>
      <c r="C33" t="str">
        <f t="shared" si="1"/>
        <v>IPL-2008</v>
      </c>
      <c r="D33">
        <f t="shared" si="2"/>
        <v>2008</v>
      </c>
      <c r="E33" s="1">
        <v>39579</v>
      </c>
      <c r="F33" t="s">
        <v>22</v>
      </c>
      <c r="G33" t="s">
        <v>12</v>
      </c>
      <c r="H33" t="str">
        <f t="shared" si="0"/>
        <v>WIN</v>
      </c>
      <c r="I33" t="s">
        <v>22</v>
      </c>
      <c r="J33" t="s">
        <v>31</v>
      </c>
      <c r="K33" t="s">
        <v>32</v>
      </c>
    </row>
    <row r="34" spans="1:11" x14ac:dyDescent="0.3">
      <c r="A34" t="s">
        <v>28</v>
      </c>
      <c r="B34" t="s">
        <v>11</v>
      </c>
      <c r="C34" t="str">
        <f t="shared" si="1"/>
        <v>IPL-2008</v>
      </c>
      <c r="D34">
        <f t="shared" si="2"/>
        <v>2008</v>
      </c>
      <c r="E34" s="1">
        <v>39579</v>
      </c>
      <c r="F34" t="s">
        <v>11</v>
      </c>
      <c r="G34" t="s">
        <v>18</v>
      </c>
      <c r="H34" t="str">
        <f t="shared" si="0"/>
        <v>WIN</v>
      </c>
      <c r="I34" t="s">
        <v>11</v>
      </c>
      <c r="J34" t="s">
        <v>54</v>
      </c>
      <c r="K34" t="s">
        <v>34</v>
      </c>
    </row>
    <row r="35" spans="1:11" x14ac:dyDescent="0.3">
      <c r="A35" t="s">
        <v>16</v>
      </c>
      <c r="B35" t="s">
        <v>10</v>
      </c>
      <c r="C35" t="str">
        <f t="shared" si="1"/>
        <v>IPL-2008</v>
      </c>
      <c r="D35">
        <f t="shared" si="2"/>
        <v>2008</v>
      </c>
      <c r="E35" s="1">
        <v>39580</v>
      </c>
      <c r="F35" t="s">
        <v>10</v>
      </c>
      <c r="G35" t="s">
        <v>18</v>
      </c>
      <c r="H35" t="str">
        <f t="shared" si="0"/>
        <v>LOSS</v>
      </c>
      <c r="I35" t="s">
        <v>16</v>
      </c>
      <c r="J35" t="s">
        <v>47</v>
      </c>
      <c r="K35" t="s">
        <v>20</v>
      </c>
    </row>
    <row r="36" spans="1:11" x14ac:dyDescent="0.3">
      <c r="A36" t="s">
        <v>11</v>
      </c>
      <c r="B36" t="s">
        <v>21</v>
      </c>
      <c r="C36" t="str">
        <f t="shared" si="1"/>
        <v>IPL-2008</v>
      </c>
      <c r="D36">
        <f t="shared" si="2"/>
        <v>2008</v>
      </c>
      <c r="E36" s="1">
        <v>39581</v>
      </c>
      <c r="F36" t="s">
        <v>11</v>
      </c>
      <c r="G36" t="s">
        <v>18</v>
      </c>
      <c r="H36" t="str">
        <f t="shared" si="0"/>
        <v>WIN</v>
      </c>
      <c r="I36" t="s">
        <v>11</v>
      </c>
      <c r="J36" t="s">
        <v>56</v>
      </c>
      <c r="K36" t="s">
        <v>30</v>
      </c>
    </row>
    <row r="37" spans="1:11" x14ac:dyDescent="0.3">
      <c r="A37" t="s">
        <v>25</v>
      </c>
      <c r="B37" t="s">
        <v>17</v>
      </c>
      <c r="C37" t="str">
        <f t="shared" si="1"/>
        <v>IPL-2008</v>
      </c>
      <c r="D37">
        <f t="shared" si="2"/>
        <v>2008</v>
      </c>
      <c r="E37" s="1">
        <v>39582</v>
      </c>
      <c r="F37" t="s">
        <v>25</v>
      </c>
      <c r="G37" t="s">
        <v>12</v>
      </c>
      <c r="H37" t="str">
        <f t="shared" si="0"/>
        <v>WIN</v>
      </c>
      <c r="I37" t="s">
        <v>25</v>
      </c>
      <c r="J37" t="s">
        <v>44</v>
      </c>
      <c r="K37" t="s">
        <v>27</v>
      </c>
    </row>
    <row r="38" spans="1:11" x14ac:dyDescent="0.3">
      <c r="A38" t="s">
        <v>21</v>
      </c>
      <c r="B38" t="s">
        <v>28</v>
      </c>
      <c r="C38" t="str">
        <f t="shared" si="1"/>
        <v>IPL-2008</v>
      </c>
      <c r="D38">
        <f t="shared" si="2"/>
        <v>2008</v>
      </c>
      <c r="E38" s="1">
        <v>39583</v>
      </c>
      <c r="F38" t="s">
        <v>28</v>
      </c>
      <c r="G38" t="s">
        <v>12</v>
      </c>
      <c r="H38" t="str">
        <f t="shared" si="0"/>
        <v>LOSS</v>
      </c>
      <c r="I38" t="s">
        <v>21</v>
      </c>
      <c r="J38" t="s">
        <v>57</v>
      </c>
      <c r="K38" t="s">
        <v>24</v>
      </c>
    </row>
    <row r="39" spans="1:11" x14ac:dyDescent="0.3">
      <c r="A39" t="s">
        <v>25</v>
      </c>
      <c r="B39" t="s">
        <v>11</v>
      </c>
      <c r="C39" t="str">
        <f t="shared" si="1"/>
        <v>IPL-2008</v>
      </c>
      <c r="D39">
        <f t="shared" si="2"/>
        <v>2008</v>
      </c>
      <c r="E39" s="1">
        <v>39584</v>
      </c>
      <c r="F39" t="s">
        <v>25</v>
      </c>
      <c r="G39" t="s">
        <v>12</v>
      </c>
      <c r="H39" t="str">
        <f t="shared" si="0"/>
        <v>WIN</v>
      </c>
      <c r="I39" t="s">
        <v>25</v>
      </c>
      <c r="J39" t="s">
        <v>51</v>
      </c>
      <c r="K39" t="s">
        <v>27</v>
      </c>
    </row>
    <row r="40" spans="1:11" x14ac:dyDescent="0.3">
      <c r="A40" t="s">
        <v>21</v>
      </c>
      <c r="B40" t="s">
        <v>16</v>
      </c>
      <c r="C40" t="str">
        <f t="shared" si="1"/>
        <v>IPL-2008</v>
      </c>
      <c r="D40">
        <f t="shared" si="2"/>
        <v>2008</v>
      </c>
      <c r="E40" s="1">
        <v>39585</v>
      </c>
      <c r="F40" t="s">
        <v>21</v>
      </c>
      <c r="G40" t="s">
        <v>18</v>
      </c>
      <c r="H40" t="str">
        <f t="shared" si="0"/>
        <v>LOSS</v>
      </c>
      <c r="I40" t="s">
        <v>16</v>
      </c>
      <c r="J40" t="s">
        <v>58</v>
      </c>
      <c r="K40" t="s">
        <v>24</v>
      </c>
    </row>
    <row r="41" spans="1:11" x14ac:dyDescent="0.3">
      <c r="A41" t="s">
        <v>22</v>
      </c>
      <c r="B41" t="s">
        <v>10</v>
      </c>
      <c r="C41" t="str">
        <f t="shared" si="1"/>
        <v>IPL-2008</v>
      </c>
      <c r="D41">
        <f t="shared" si="2"/>
        <v>2008</v>
      </c>
      <c r="E41" s="1">
        <v>39585</v>
      </c>
      <c r="F41" t="s">
        <v>10</v>
      </c>
      <c r="G41" t="s">
        <v>12</v>
      </c>
      <c r="H41" t="str">
        <f t="shared" si="0"/>
        <v>LOSS</v>
      </c>
      <c r="I41" t="s">
        <v>22</v>
      </c>
      <c r="J41" t="s">
        <v>59</v>
      </c>
      <c r="K41" t="s">
        <v>32</v>
      </c>
    </row>
    <row r="42" spans="1:11" x14ac:dyDescent="0.3">
      <c r="A42" t="s">
        <v>28</v>
      </c>
      <c r="B42" t="s">
        <v>25</v>
      </c>
      <c r="C42" t="str">
        <f t="shared" si="1"/>
        <v>IPL-2008</v>
      </c>
      <c r="D42">
        <f t="shared" si="2"/>
        <v>2008</v>
      </c>
      <c r="E42" s="1">
        <v>39586</v>
      </c>
      <c r="F42" t="s">
        <v>28</v>
      </c>
      <c r="G42" t="s">
        <v>12</v>
      </c>
      <c r="H42" t="str">
        <f t="shared" si="0"/>
        <v>LOSS</v>
      </c>
      <c r="I42" t="s">
        <v>25</v>
      </c>
      <c r="J42" t="s">
        <v>60</v>
      </c>
      <c r="K42" t="s">
        <v>34</v>
      </c>
    </row>
    <row r="43" spans="1:11" x14ac:dyDescent="0.3">
      <c r="A43" t="s">
        <v>11</v>
      </c>
      <c r="B43" t="s">
        <v>17</v>
      </c>
      <c r="C43" t="str">
        <f t="shared" si="1"/>
        <v>IPL-2008</v>
      </c>
      <c r="D43">
        <f t="shared" si="2"/>
        <v>2008</v>
      </c>
      <c r="E43" s="1">
        <v>39586</v>
      </c>
      <c r="F43" t="s">
        <v>11</v>
      </c>
      <c r="G43" t="s">
        <v>18</v>
      </c>
      <c r="H43" t="str">
        <f t="shared" si="0"/>
        <v>LOSS</v>
      </c>
      <c r="I43" t="s">
        <v>17</v>
      </c>
      <c r="J43" t="s">
        <v>61</v>
      </c>
      <c r="K43" t="s">
        <v>30</v>
      </c>
    </row>
    <row r="44" spans="1:11" x14ac:dyDescent="0.3">
      <c r="A44" t="s">
        <v>10</v>
      </c>
      <c r="B44" t="s">
        <v>21</v>
      </c>
      <c r="C44" t="str">
        <f t="shared" si="1"/>
        <v>IPL-2008</v>
      </c>
      <c r="D44">
        <f t="shared" si="2"/>
        <v>2008</v>
      </c>
      <c r="E44" s="1">
        <v>39587</v>
      </c>
      <c r="F44" t="s">
        <v>21</v>
      </c>
      <c r="G44" t="s">
        <v>12</v>
      </c>
      <c r="H44" t="str">
        <f t="shared" si="0"/>
        <v>WIN</v>
      </c>
      <c r="I44" t="s">
        <v>21</v>
      </c>
      <c r="J44" t="s">
        <v>62</v>
      </c>
      <c r="K44" t="s">
        <v>14</v>
      </c>
    </row>
    <row r="45" spans="1:11" x14ac:dyDescent="0.3">
      <c r="A45" t="s">
        <v>11</v>
      </c>
      <c r="B45" t="s">
        <v>22</v>
      </c>
      <c r="C45" t="str">
        <f t="shared" si="1"/>
        <v>IPL-2008</v>
      </c>
      <c r="D45">
        <f t="shared" si="2"/>
        <v>2008</v>
      </c>
      <c r="E45" s="1">
        <v>39588</v>
      </c>
      <c r="F45" t="s">
        <v>22</v>
      </c>
      <c r="G45" t="s">
        <v>12</v>
      </c>
      <c r="H45" t="str">
        <f t="shared" si="0"/>
        <v>WIN</v>
      </c>
      <c r="I45" t="s">
        <v>22</v>
      </c>
      <c r="J45" t="s">
        <v>37</v>
      </c>
      <c r="K45" t="s">
        <v>30</v>
      </c>
    </row>
    <row r="46" spans="1:11" x14ac:dyDescent="0.3">
      <c r="A46" t="s">
        <v>17</v>
      </c>
      <c r="B46" t="s">
        <v>10</v>
      </c>
      <c r="C46" t="str">
        <f t="shared" si="1"/>
        <v>IPL-2008</v>
      </c>
      <c r="D46">
        <f t="shared" si="2"/>
        <v>2008</v>
      </c>
      <c r="E46" s="1">
        <v>39589</v>
      </c>
      <c r="F46" t="s">
        <v>10</v>
      </c>
      <c r="G46" t="s">
        <v>18</v>
      </c>
      <c r="H46" t="str">
        <f t="shared" si="0"/>
        <v>WIN</v>
      </c>
      <c r="I46" t="s">
        <v>10</v>
      </c>
      <c r="J46" t="s">
        <v>63</v>
      </c>
      <c r="K46" t="s">
        <v>36</v>
      </c>
    </row>
    <row r="47" spans="1:11" x14ac:dyDescent="0.3">
      <c r="A47" t="s">
        <v>25</v>
      </c>
      <c r="B47" t="s">
        <v>16</v>
      </c>
      <c r="C47" t="str">
        <f t="shared" si="1"/>
        <v>IPL-2008</v>
      </c>
      <c r="D47">
        <f t="shared" si="2"/>
        <v>2008</v>
      </c>
      <c r="E47" s="1">
        <v>39589</v>
      </c>
      <c r="F47" t="s">
        <v>25</v>
      </c>
      <c r="G47" t="s">
        <v>12</v>
      </c>
      <c r="H47" t="str">
        <f t="shared" si="0"/>
        <v>LOSS</v>
      </c>
      <c r="I47" t="s">
        <v>16</v>
      </c>
      <c r="J47" t="s">
        <v>47</v>
      </c>
      <c r="K47" t="s">
        <v>27</v>
      </c>
    </row>
    <row r="48" spans="1:11" x14ac:dyDescent="0.3">
      <c r="A48" t="s">
        <v>16</v>
      </c>
      <c r="B48" t="s">
        <v>28</v>
      </c>
      <c r="C48" t="str">
        <f t="shared" si="1"/>
        <v>IPL-2008</v>
      </c>
      <c r="D48">
        <f t="shared" si="2"/>
        <v>2008</v>
      </c>
      <c r="E48" s="1">
        <v>39591</v>
      </c>
      <c r="F48" t="s">
        <v>16</v>
      </c>
      <c r="G48" t="s">
        <v>12</v>
      </c>
      <c r="H48" t="str">
        <f t="shared" si="0"/>
        <v>WIN</v>
      </c>
      <c r="I48" t="s">
        <v>16</v>
      </c>
      <c r="J48" t="s">
        <v>47</v>
      </c>
      <c r="K48" t="s">
        <v>20</v>
      </c>
    </row>
    <row r="49" spans="1:11" x14ac:dyDescent="0.3">
      <c r="A49" t="s">
        <v>17</v>
      </c>
      <c r="B49" t="s">
        <v>22</v>
      </c>
      <c r="C49" t="str">
        <f t="shared" si="1"/>
        <v>IPL-2008</v>
      </c>
      <c r="D49">
        <f t="shared" si="2"/>
        <v>2008</v>
      </c>
      <c r="E49" s="1">
        <v>39592</v>
      </c>
      <c r="F49" t="s">
        <v>22</v>
      </c>
      <c r="G49" t="s">
        <v>18</v>
      </c>
      <c r="H49" t="str">
        <f t="shared" si="0"/>
        <v>WIN</v>
      </c>
      <c r="I49" t="s">
        <v>22</v>
      </c>
      <c r="J49" t="s">
        <v>64</v>
      </c>
      <c r="K49" t="s">
        <v>36</v>
      </c>
    </row>
    <row r="50" spans="1:11" x14ac:dyDescent="0.3">
      <c r="A50" t="s">
        <v>21</v>
      </c>
      <c r="B50" t="s">
        <v>25</v>
      </c>
      <c r="C50" t="str">
        <f t="shared" si="1"/>
        <v>IPL-2008</v>
      </c>
      <c r="D50">
        <f t="shared" si="2"/>
        <v>2008</v>
      </c>
      <c r="E50" s="1">
        <v>39592</v>
      </c>
      <c r="F50" t="s">
        <v>21</v>
      </c>
      <c r="G50" t="s">
        <v>12</v>
      </c>
      <c r="H50" t="str">
        <f t="shared" si="0"/>
        <v>WIN</v>
      </c>
      <c r="I50" t="s">
        <v>21</v>
      </c>
      <c r="J50" t="s">
        <v>65</v>
      </c>
      <c r="K50" t="s">
        <v>24</v>
      </c>
    </row>
    <row r="51" spans="1:11" x14ac:dyDescent="0.3">
      <c r="A51" t="s">
        <v>11</v>
      </c>
      <c r="B51" t="s">
        <v>16</v>
      </c>
      <c r="C51" t="str">
        <f t="shared" si="1"/>
        <v>IPL-2008</v>
      </c>
      <c r="D51">
        <f t="shared" si="2"/>
        <v>2008</v>
      </c>
      <c r="E51" s="1">
        <v>39593</v>
      </c>
      <c r="F51" t="s">
        <v>16</v>
      </c>
      <c r="G51" t="s">
        <v>18</v>
      </c>
      <c r="H51" t="str">
        <f t="shared" si="0"/>
        <v>LOSS</v>
      </c>
      <c r="I51" t="s">
        <v>11</v>
      </c>
      <c r="J51" t="s">
        <v>66</v>
      </c>
      <c r="K51" t="s">
        <v>30</v>
      </c>
    </row>
    <row r="52" spans="1:11" x14ac:dyDescent="0.3">
      <c r="A52" t="s">
        <v>28</v>
      </c>
      <c r="B52" t="s">
        <v>10</v>
      </c>
      <c r="C52" t="str">
        <f t="shared" si="1"/>
        <v>IPL-2008</v>
      </c>
      <c r="D52">
        <f t="shared" si="2"/>
        <v>2008</v>
      </c>
      <c r="E52" s="1">
        <v>39593</v>
      </c>
      <c r="F52" t="s">
        <v>28</v>
      </c>
      <c r="G52" t="s">
        <v>18</v>
      </c>
      <c r="H52" t="str">
        <f t="shared" si="0"/>
        <v>LOSS</v>
      </c>
      <c r="I52" t="s">
        <v>10</v>
      </c>
      <c r="J52" t="s">
        <v>67</v>
      </c>
      <c r="K52" t="s">
        <v>34</v>
      </c>
    </row>
    <row r="53" spans="1:11" x14ac:dyDescent="0.3">
      <c r="A53" t="s">
        <v>22</v>
      </c>
      <c r="B53" t="s">
        <v>25</v>
      </c>
      <c r="C53" t="str">
        <f t="shared" si="1"/>
        <v>IPL-2008</v>
      </c>
      <c r="D53">
        <f t="shared" si="2"/>
        <v>2008</v>
      </c>
      <c r="E53" s="1">
        <v>39594</v>
      </c>
      <c r="F53" t="s">
        <v>22</v>
      </c>
      <c r="G53" t="s">
        <v>12</v>
      </c>
      <c r="H53" t="str">
        <f t="shared" si="0"/>
        <v>WIN</v>
      </c>
      <c r="I53" t="s">
        <v>22</v>
      </c>
      <c r="J53" t="s">
        <v>50</v>
      </c>
      <c r="K53" t="s">
        <v>32</v>
      </c>
    </row>
    <row r="54" spans="1:11" x14ac:dyDescent="0.3">
      <c r="A54" t="s">
        <v>28</v>
      </c>
      <c r="B54" t="s">
        <v>17</v>
      </c>
      <c r="C54" t="str">
        <f t="shared" si="1"/>
        <v>IPL-2008</v>
      </c>
      <c r="D54">
        <f t="shared" si="2"/>
        <v>2008</v>
      </c>
      <c r="E54" s="1">
        <v>39595</v>
      </c>
      <c r="F54" t="s">
        <v>28</v>
      </c>
      <c r="G54" t="s">
        <v>18</v>
      </c>
      <c r="H54" t="str">
        <f t="shared" si="0"/>
        <v>LOSS</v>
      </c>
      <c r="I54" t="s">
        <v>17</v>
      </c>
      <c r="J54" t="s">
        <v>68</v>
      </c>
      <c r="K54" t="s">
        <v>34</v>
      </c>
    </row>
    <row r="55" spans="1:11" x14ac:dyDescent="0.3">
      <c r="A55" t="s">
        <v>16</v>
      </c>
      <c r="B55" t="s">
        <v>22</v>
      </c>
      <c r="C55" t="str">
        <f t="shared" si="1"/>
        <v>IPL-2008</v>
      </c>
      <c r="D55">
        <f t="shared" si="2"/>
        <v>2008</v>
      </c>
      <c r="E55" s="1">
        <v>39596</v>
      </c>
      <c r="F55" t="s">
        <v>22</v>
      </c>
      <c r="G55" t="s">
        <v>12</v>
      </c>
      <c r="H55" t="str">
        <f t="shared" si="0"/>
        <v>LOSS</v>
      </c>
      <c r="I55" t="s">
        <v>16</v>
      </c>
      <c r="J55" t="s">
        <v>47</v>
      </c>
      <c r="K55" t="s">
        <v>20</v>
      </c>
    </row>
    <row r="56" spans="1:11" x14ac:dyDescent="0.3">
      <c r="A56" t="s">
        <v>10</v>
      </c>
      <c r="B56" t="s">
        <v>25</v>
      </c>
      <c r="C56" t="str">
        <f t="shared" si="1"/>
        <v>IPL-2008</v>
      </c>
      <c r="D56">
        <f t="shared" si="2"/>
        <v>2008</v>
      </c>
      <c r="E56" s="1">
        <v>39596</v>
      </c>
      <c r="F56" t="s">
        <v>25</v>
      </c>
      <c r="G56" t="s">
        <v>12</v>
      </c>
      <c r="H56" t="str">
        <f t="shared" si="0"/>
        <v>WIN</v>
      </c>
      <c r="I56" t="s">
        <v>25</v>
      </c>
      <c r="J56" t="s">
        <v>69</v>
      </c>
      <c r="K56" t="s">
        <v>14</v>
      </c>
    </row>
    <row r="57" spans="1:11" x14ac:dyDescent="0.3">
      <c r="A57" t="s">
        <v>21</v>
      </c>
      <c r="B57" t="s">
        <v>22</v>
      </c>
      <c r="C57" t="str">
        <f t="shared" si="1"/>
        <v>IPL-2008</v>
      </c>
      <c r="D57">
        <f t="shared" si="2"/>
        <v>2008</v>
      </c>
      <c r="E57" s="1">
        <v>39598</v>
      </c>
      <c r="F57" t="s">
        <v>21</v>
      </c>
      <c r="G57" t="s">
        <v>12</v>
      </c>
      <c r="H57" t="str">
        <f t="shared" si="0"/>
        <v>LOSS</v>
      </c>
      <c r="I57" t="s">
        <v>22</v>
      </c>
      <c r="J57" t="s">
        <v>31</v>
      </c>
      <c r="K57" t="s">
        <v>27</v>
      </c>
    </row>
    <row r="58" spans="1:11" x14ac:dyDescent="0.3">
      <c r="A58" t="s">
        <v>17</v>
      </c>
      <c r="B58" t="s">
        <v>16</v>
      </c>
      <c r="C58" t="str">
        <f t="shared" si="1"/>
        <v>IPL-2008</v>
      </c>
      <c r="D58">
        <f t="shared" si="2"/>
        <v>2008</v>
      </c>
      <c r="E58" s="1">
        <v>39599</v>
      </c>
      <c r="F58" t="s">
        <v>16</v>
      </c>
      <c r="G58" t="s">
        <v>18</v>
      </c>
      <c r="H58" t="str">
        <f t="shared" si="0"/>
        <v>LOSS</v>
      </c>
      <c r="I58" t="s">
        <v>17</v>
      </c>
      <c r="J58" t="s">
        <v>61</v>
      </c>
      <c r="K58" t="s">
        <v>27</v>
      </c>
    </row>
    <row r="59" spans="1:11" x14ac:dyDescent="0.3">
      <c r="A59" t="s">
        <v>17</v>
      </c>
      <c r="B59" t="s">
        <v>22</v>
      </c>
      <c r="C59" t="str">
        <f t="shared" si="1"/>
        <v>IPL-2008</v>
      </c>
      <c r="D59">
        <f t="shared" si="2"/>
        <v>2008</v>
      </c>
      <c r="E59" s="1">
        <v>39600</v>
      </c>
      <c r="F59" t="s">
        <v>22</v>
      </c>
      <c r="G59" t="s">
        <v>12</v>
      </c>
      <c r="H59" t="str">
        <f t="shared" si="0"/>
        <v>WIN</v>
      </c>
      <c r="I59" t="s">
        <v>22</v>
      </c>
      <c r="J59" t="s">
        <v>37</v>
      </c>
      <c r="K59" t="s">
        <v>41</v>
      </c>
    </row>
    <row r="60" spans="1:11" x14ac:dyDescent="0.3">
      <c r="A60" t="s">
        <v>10</v>
      </c>
      <c r="B60" t="s">
        <v>22</v>
      </c>
      <c r="C60" t="str">
        <f t="shared" si="1"/>
        <v>IPL-2009</v>
      </c>
      <c r="D60">
        <f t="shared" si="2"/>
        <v>2009</v>
      </c>
      <c r="E60" s="1">
        <v>39921</v>
      </c>
      <c r="F60" t="s">
        <v>10</v>
      </c>
      <c r="G60" t="s">
        <v>18</v>
      </c>
      <c r="H60" t="str">
        <f t="shared" si="0"/>
        <v>WIN</v>
      </c>
      <c r="I60" t="s">
        <v>10</v>
      </c>
      <c r="J60" t="s">
        <v>70</v>
      </c>
      <c r="K60" t="s">
        <v>71</v>
      </c>
    </row>
    <row r="61" spans="1:11" x14ac:dyDescent="0.3">
      <c r="A61" t="s">
        <v>17</v>
      </c>
      <c r="B61" t="s">
        <v>25</v>
      </c>
      <c r="C61" t="str">
        <f t="shared" si="1"/>
        <v>IPL-2009</v>
      </c>
      <c r="D61">
        <f t="shared" si="2"/>
        <v>2009</v>
      </c>
      <c r="E61" s="1">
        <v>39921</v>
      </c>
      <c r="F61" t="s">
        <v>17</v>
      </c>
      <c r="G61" t="s">
        <v>12</v>
      </c>
      <c r="H61" t="str">
        <f t="shared" si="0"/>
        <v>LOSS</v>
      </c>
      <c r="I61" t="s">
        <v>25</v>
      </c>
      <c r="J61" t="s">
        <v>72</v>
      </c>
      <c r="K61" t="s">
        <v>71</v>
      </c>
    </row>
    <row r="62" spans="1:11" x14ac:dyDescent="0.3">
      <c r="A62" t="s">
        <v>28</v>
      </c>
      <c r="B62" t="s">
        <v>11</v>
      </c>
      <c r="C62" t="str">
        <f t="shared" si="1"/>
        <v>IPL-2009</v>
      </c>
      <c r="D62">
        <f t="shared" si="2"/>
        <v>2009</v>
      </c>
      <c r="E62" s="1">
        <v>39922</v>
      </c>
      <c r="F62" t="s">
        <v>11</v>
      </c>
      <c r="G62" t="s">
        <v>18</v>
      </c>
      <c r="H62" t="str">
        <f t="shared" si="0"/>
        <v>LOSS</v>
      </c>
      <c r="I62" t="s">
        <v>28</v>
      </c>
      <c r="J62" t="s">
        <v>73</v>
      </c>
      <c r="K62" t="s">
        <v>71</v>
      </c>
    </row>
    <row r="63" spans="1:11" x14ac:dyDescent="0.3">
      <c r="A63" t="s">
        <v>21</v>
      </c>
      <c r="B63" t="s">
        <v>16</v>
      </c>
      <c r="C63" t="str">
        <f t="shared" si="1"/>
        <v>IPL-2009</v>
      </c>
      <c r="D63">
        <f t="shared" si="2"/>
        <v>2009</v>
      </c>
      <c r="E63" s="1">
        <v>39922</v>
      </c>
      <c r="F63" t="s">
        <v>21</v>
      </c>
      <c r="G63" t="s">
        <v>12</v>
      </c>
      <c r="H63" t="str">
        <f t="shared" si="0"/>
        <v>WIN</v>
      </c>
      <c r="I63" t="s">
        <v>21</v>
      </c>
      <c r="J63" t="s">
        <v>74</v>
      </c>
      <c r="K63" t="s">
        <v>71</v>
      </c>
    </row>
    <row r="64" spans="1:11" x14ac:dyDescent="0.3">
      <c r="A64" t="s">
        <v>10</v>
      </c>
      <c r="B64" t="s">
        <v>17</v>
      </c>
      <c r="C64" t="str">
        <f t="shared" si="1"/>
        <v>IPL-2009</v>
      </c>
      <c r="D64">
        <f t="shared" si="2"/>
        <v>2009</v>
      </c>
      <c r="E64" s="1">
        <v>39923</v>
      </c>
      <c r="F64" t="s">
        <v>17</v>
      </c>
      <c r="G64" t="s">
        <v>18</v>
      </c>
      <c r="H64" t="str">
        <f t="shared" si="0"/>
        <v>WIN</v>
      </c>
      <c r="I64" t="s">
        <v>17</v>
      </c>
      <c r="J64" t="s">
        <v>75</v>
      </c>
      <c r="K64" t="s">
        <v>76</v>
      </c>
    </row>
    <row r="65" spans="1:11" x14ac:dyDescent="0.3">
      <c r="A65" t="s">
        <v>16</v>
      </c>
      <c r="B65" t="s">
        <v>11</v>
      </c>
      <c r="C65" t="str">
        <f t="shared" si="1"/>
        <v>IPL-2009</v>
      </c>
      <c r="D65">
        <f t="shared" si="2"/>
        <v>2009</v>
      </c>
      <c r="E65" s="1">
        <v>39924</v>
      </c>
      <c r="F65" t="s">
        <v>11</v>
      </c>
      <c r="G65" t="s">
        <v>12</v>
      </c>
      <c r="H65" t="str">
        <f t="shared" si="0"/>
        <v>WIN</v>
      </c>
      <c r="I65" t="s">
        <v>11</v>
      </c>
      <c r="J65" t="s">
        <v>77</v>
      </c>
      <c r="K65" t="s">
        <v>78</v>
      </c>
    </row>
    <row r="66" spans="1:11" x14ac:dyDescent="0.3">
      <c r="A66" t="s">
        <v>10</v>
      </c>
      <c r="B66" t="s">
        <v>28</v>
      </c>
      <c r="C66" t="str">
        <f t="shared" si="1"/>
        <v>IPL-2009</v>
      </c>
      <c r="D66">
        <f t="shared" si="2"/>
        <v>2009</v>
      </c>
      <c r="E66" s="1">
        <v>39925</v>
      </c>
      <c r="F66" t="s">
        <v>28</v>
      </c>
      <c r="G66" t="s">
        <v>18</v>
      </c>
      <c r="H66" t="str">
        <f t="shared" ref="H66:H129" si="3">IF(F66=I66,"WIN","LOSS")</f>
        <v>WIN</v>
      </c>
      <c r="I66" t="s">
        <v>28</v>
      </c>
      <c r="J66" t="s">
        <v>40</v>
      </c>
      <c r="K66" t="s">
        <v>71</v>
      </c>
    </row>
    <row r="67" spans="1:11" x14ac:dyDescent="0.3">
      <c r="A67" t="s">
        <v>17</v>
      </c>
      <c r="B67" t="s">
        <v>21</v>
      </c>
      <c r="C67" t="str">
        <f t="shared" ref="C67:C130" si="4">_xlfn.CONCAT("IPL-",D67)</f>
        <v>IPL-2009</v>
      </c>
      <c r="D67">
        <f t="shared" ref="D67:D130" si="5">YEAR(E67)</f>
        <v>2009</v>
      </c>
      <c r="E67" s="1">
        <v>39926</v>
      </c>
      <c r="F67" t="s">
        <v>21</v>
      </c>
      <c r="G67" t="s">
        <v>18</v>
      </c>
      <c r="H67" t="str">
        <f t="shared" si="3"/>
        <v>WIN</v>
      </c>
      <c r="I67" t="s">
        <v>21</v>
      </c>
      <c r="J67" t="s">
        <v>79</v>
      </c>
      <c r="K67" t="s">
        <v>78</v>
      </c>
    </row>
    <row r="68" spans="1:11" x14ac:dyDescent="0.3">
      <c r="A68" t="s">
        <v>11</v>
      </c>
      <c r="B68" t="s">
        <v>22</v>
      </c>
      <c r="C68" t="str">
        <f t="shared" si="4"/>
        <v>IPL-2009</v>
      </c>
      <c r="D68">
        <f t="shared" si="5"/>
        <v>2009</v>
      </c>
      <c r="E68" s="1">
        <v>39926</v>
      </c>
      <c r="F68" t="s">
        <v>11</v>
      </c>
      <c r="G68" t="s">
        <v>12</v>
      </c>
      <c r="H68" t="str">
        <f t="shared" si="3"/>
        <v>LOSS</v>
      </c>
      <c r="J68" t="s">
        <v>37</v>
      </c>
      <c r="K68" t="s">
        <v>71</v>
      </c>
    </row>
    <row r="69" spans="1:11" x14ac:dyDescent="0.3">
      <c r="A69" t="s">
        <v>10</v>
      </c>
      <c r="B69" t="s">
        <v>16</v>
      </c>
      <c r="C69" t="str">
        <f t="shared" si="4"/>
        <v>IPL-2009</v>
      </c>
      <c r="D69">
        <f t="shared" si="5"/>
        <v>2009</v>
      </c>
      <c r="E69" s="1">
        <v>39927</v>
      </c>
      <c r="F69" t="s">
        <v>10</v>
      </c>
      <c r="G69" t="s">
        <v>18</v>
      </c>
      <c r="H69" t="str">
        <f t="shared" si="3"/>
        <v>LOSS</v>
      </c>
      <c r="I69" t="s">
        <v>16</v>
      </c>
      <c r="J69" t="s">
        <v>80</v>
      </c>
      <c r="K69" t="s">
        <v>78</v>
      </c>
    </row>
    <row r="70" spans="1:11" x14ac:dyDescent="0.3">
      <c r="A70" t="s">
        <v>28</v>
      </c>
      <c r="B70" t="s">
        <v>25</v>
      </c>
      <c r="C70" t="str">
        <f t="shared" si="4"/>
        <v>IPL-2009</v>
      </c>
      <c r="D70">
        <f t="shared" si="5"/>
        <v>2009</v>
      </c>
      <c r="E70" s="1">
        <v>39928</v>
      </c>
      <c r="F70" t="s">
        <v>28</v>
      </c>
      <c r="G70" t="s">
        <v>18</v>
      </c>
      <c r="H70" t="str">
        <f t="shared" si="3"/>
        <v>WIN</v>
      </c>
      <c r="I70" t="s">
        <v>28</v>
      </c>
      <c r="J70" t="s">
        <v>81</v>
      </c>
      <c r="K70" t="s">
        <v>78</v>
      </c>
    </row>
    <row r="71" spans="1:11" x14ac:dyDescent="0.3">
      <c r="A71" t="s">
        <v>16</v>
      </c>
      <c r="B71" t="s">
        <v>22</v>
      </c>
      <c r="C71" t="str">
        <f t="shared" si="4"/>
        <v>IPL-2009</v>
      </c>
      <c r="D71">
        <f t="shared" si="5"/>
        <v>2009</v>
      </c>
      <c r="E71" s="1">
        <v>39929</v>
      </c>
      <c r="F71" t="s">
        <v>16</v>
      </c>
      <c r="G71" t="s">
        <v>18</v>
      </c>
      <c r="H71" t="str">
        <f t="shared" si="3"/>
        <v>WIN</v>
      </c>
      <c r="I71" t="s">
        <v>16</v>
      </c>
      <c r="J71" t="s">
        <v>38</v>
      </c>
      <c r="K71" t="s">
        <v>71</v>
      </c>
    </row>
    <row r="72" spans="1:11" x14ac:dyDescent="0.3">
      <c r="A72" t="s">
        <v>10</v>
      </c>
      <c r="B72" t="s">
        <v>21</v>
      </c>
      <c r="C72" t="str">
        <f t="shared" si="4"/>
        <v>IPL-2009</v>
      </c>
      <c r="D72">
        <f t="shared" si="5"/>
        <v>2009</v>
      </c>
      <c r="E72" s="1">
        <v>39929</v>
      </c>
      <c r="F72" t="s">
        <v>10</v>
      </c>
      <c r="G72" t="s">
        <v>18</v>
      </c>
      <c r="H72" t="str">
        <f t="shared" si="3"/>
        <v>LOSS</v>
      </c>
      <c r="I72" t="s">
        <v>21</v>
      </c>
      <c r="J72" t="s">
        <v>82</v>
      </c>
      <c r="K72" t="s">
        <v>76</v>
      </c>
    </row>
    <row r="73" spans="1:11" x14ac:dyDescent="0.3">
      <c r="A73" t="s">
        <v>17</v>
      </c>
      <c r="B73" t="s">
        <v>28</v>
      </c>
      <c r="C73" t="str">
        <f t="shared" si="4"/>
        <v>IPL-2009</v>
      </c>
      <c r="D73">
        <f t="shared" si="5"/>
        <v>2009</v>
      </c>
      <c r="E73" s="1">
        <v>39930</v>
      </c>
      <c r="F73" t="s">
        <v>28</v>
      </c>
      <c r="G73" t="s">
        <v>12</v>
      </c>
      <c r="H73" t="str">
        <f t="shared" si="3"/>
        <v>WIN</v>
      </c>
      <c r="I73" t="s">
        <v>28</v>
      </c>
      <c r="J73" t="s">
        <v>83</v>
      </c>
      <c r="K73" t="s">
        <v>78</v>
      </c>
    </row>
    <row r="74" spans="1:11" x14ac:dyDescent="0.3">
      <c r="A74" t="s">
        <v>11</v>
      </c>
      <c r="B74" t="s">
        <v>25</v>
      </c>
      <c r="C74" t="str">
        <f t="shared" si="4"/>
        <v>IPL-2009</v>
      </c>
      <c r="D74">
        <f t="shared" si="5"/>
        <v>2009</v>
      </c>
      <c r="E74" s="1">
        <v>39930</v>
      </c>
      <c r="F74" t="s">
        <v>25</v>
      </c>
      <c r="G74" t="s">
        <v>18</v>
      </c>
      <c r="H74" t="str">
        <f t="shared" si="3"/>
        <v>WIN</v>
      </c>
      <c r="I74" t="s">
        <v>25</v>
      </c>
      <c r="J74" t="s">
        <v>72</v>
      </c>
      <c r="K74" t="s">
        <v>76</v>
      </c>
    </row>
    <row r="75" spans="1:11" x14ac:dyDescent="0.3">
      <c r="A75" t="s">
        <v>21</v>
      </c>
      <c r="B75" t="s">
        <v>22</v>
      </c>
      <c r="C75" t="str">
        <f t="shared" si="4"/>
        <v>IPL-2009</v>
      </c>
      <c r="D75">
        <f t="shared" si="5"/>
        <v>2009</v>
      </c>
      <c r="E75" s="1">
        <v>39931</v>
      </c>
      <c r="F75" t="s">
        <v>21</v>
      </c>
      <c r="G75" t="s">
        <v>18</v>
      </c>
      <c r="H75" t="str">
        <f t="shared" si="3"/>
        <v>LOSS</v>
      </c>
      <c r="I75" t="s">
        <v>22</v>
      </c>
      <c r="J75" t="s">
        <v>37</v>
      </c>
      <c r="K75" t="s">
        <v>84</v>
      </c>
    </row>
    <row r="76" spans="1:11" x14ac:dyDescent="0.3">
      <c r="A76" t="s">
        <v>10</v>
      </c>
      <c r="B76" t="s">
        <v>11</v>
      </c>
      <c r="C76" t="str">
        <f t="shared" si="4"/>
        <v>IPL-2009</v>
      </c>
      <c r="D76">
        <f t="shared" si="5"/>
        <v>2009</v>
      </c>
      <c r="E76" s="1">
        <v>39932</v>
      </c>
      <c r="F76" t="s">
        <v>11</v>
      </c>
      <c r="G76" t="s">
        <v>18</v>
      </c>
      <c r="H76" t="str">
        <f t="shared" si="3"/>
        <v>LOSS</v>
      </c>
      <c r="I76" t="s">
        <v>10</v>
      </c>
      <c r="J76" t="s">
        <v>26</v>
      </c>
      <c r="K76" t="s">
        <v>78</v>
      </c>
    </row>
    <row r="77" spans="1:11" x14ac:dyDescent="0.3">
      <c r="A77" t="s">
        <v>16</v>
      </c>
      <c r="B77" t="s">
        <v>25</v>
      </c>
      <c r="C77" t="str">
        <f t="shared" si="4"/>
        <v>IPL-2009</v>
      </c>
      <c r="D77">
        <f t="shared" si="5"/>
        <v>2009</v>
      </c>
      <c r="E77" s="1">
        <v>39932</v>
      </c>
      <c r="F77" t="s">
        <v>16</v>
      </c>
      <c r="G77" t="s">
        <v>18</v>
      </c>
      <c r="H77" t="str">
        <f t="shared" si="3"/>
        <v>WIN</v>
      </c>
      <c r="I77" t="s">
        <v>16</v>
      </c>
      <c r="J77" t="s">
        <v>38</v>
      </c>
      <c r="K77" t="s">
        <v>78</v>
      </c>
    </row>
    <row r="78" spans="1:11" x14ac:dyDescent="0.3">
      <c r="A78" t="s">
        <v>17</v>
      </c>
      <c r="B78" t="s">
        <v>22</v>
      </c>
      <c r="C78" t="str">
        <f t="shared" si="4"/>
        <v>IPL-2009</v>
      </c>
      <c r="D78">
        <f t="shared" si="5"/>
        <v>2009</v>
      </c>
      <c r="E78" s="1">
        <v>39933</v>
      </c>
      <c r="F78" t="s">
        <v>22</v>
      </c>
      <c r="G78" t="s">
        <v>12</v>
      </c>
      <c r="H78" t="str">
        <f t="shared" si="3"/>
        <v>LOSS</v>
      </c>
      <c r="I78" t="s">
        <v>17</v>
      </c>
      <c r="J78" t="s">
        <v>68</v>
      </c>
      <c r="K78" t="s">
        <v>84</v>
      </c>
    </row>
    <row r="79" spans="1:11" x14ac:dyDescent="0.3">
      <c r="A79" t="s">
        <v>28</v>
      </c>
      <c r="B79" t="s">
        <v>21</v>
      </c>
      <c r="C79" t="str">
        <f t="shared" si="4"/>
        <v>IPL-2009</v>
      </c>
      <c r="D79">
        <f t="shared" si="5"/>
        <v>2009</v>
      </c>
      <c r="E79" s="1">
        <v>39933</v>
      </c>
      <c r="F79" t="s">
        <v>21</v>
      </c>
      <c r="G79" t="s">
        <v>12</v>
      </c>
      <c r="H79" t="str">
        <f t="shared" si="3"/>
        <v>WIN</v>
      </c>
      <c r="I79" t="s">
        <v>21</v>
      </c>
      <c r="J79" t="s">
        <v>85</v>
      </c>
      <c r="K79" t="s">
        <v>84</v>
      </c>
    </row>
    <row r="80" spans="1:11" x14ac:dyDescent="0.3">
      <c r="A80" t="s">
        <v>11</v>
      </c>
      <c r="B80" t="s">
        <v>25</v>
      </c>
      <c r="C80" t="str">
        <f t="shared" si="4"/>
        <v>IPL-2009</v>
      </c>
      <c r="D80">
        <f t="shared" si="5"/>
        <v>2009</v>
      </c>
      <c r="E80" s="1">
        <v>39934</v>
      </c>
      <c r="F80" t="s">
        <v>25</v>
      </c>
      <c r="G80" t="s">
        <v>18</v>
      </c>
      <c r="H80" t="str">
        <f t="shared" si="3"/>
        <v>WIN</v>
      </c>
      <c r="I80" t="s">
        <v>25</v>
      </c>
      <c r="J80" t="s">
        <v>86</v>
      </c>
      <c r="K80" t="s">
        <v>87</v>
      </c>
    </row>
    <row r="81" spans="1:11" x14ac:dyDescent="0.3">
      <c r="A81" t="s">
        <v>10</v>
      </c>
      <c r="B81" t="s">
        <v>16</v>
      </c>
      <c r="C81" t="str">
        <f t="shared" si="4"/>
        <v>IPL-2009</v>
      </c>
      <c r="D81">
        <f t="shared" si="5"/>
        <v>2009</v>
      </c>
      <c r="E81" s="1">
        <v>39934</v>
      </c>
      <c r="F81" t="s">
        <v>10</v>
      </c>
      <c r="G81" t="s">
        <v>18</v>
      </c>
      <c r="H81" t="str">
        <f t="shared" si="3"/>
        <v>WIN</v>
      </c>
      <c r="I81" t="s">
        <v>10</v>
      </c>
      <c r="J81" t="s">
        <v>88</v>
      </c>
      <c r="K81" t="s">
        <v>78</v>
      </c>
    </row>
    <row r="82" spans="1:11" x14ac:dyDescent="0.3">
      <c r="A82" t="s">
        <v>28</v>
      </c>
      <c r="B82" t="s">
        <v>22</v>
      </c>
      <c r="C82" t="str">
        <f t="shared" si="4"/>
        <v>IPL-2009</v>
      </c>
      <c r="D82">
        <f t="shared" si="5"/>
        <v>2009</v>
      </c>
      <c r="E82" s="1">
        <v>39935</v>
      </c>
      <c r="F82" t="s">
        <v>28</v>
      </c>
      <c r="G82" t="s">
        <v>18</v>
      </c>
      <c r="H82" t="str">
        <f t="shared" si="3"/>
        <v>LOSS</v>
      </c>
      <c r="I82" t="s">
        <v>22</v>
      </c>
      <c r="J82" t="s">
        <v>37</v>
      </c>
      <c r="K82" t="s">
        <v>76</v>
      </c>
    </row>
    <row r="83" spans="1:11" x14ac:dyDescent="0.3">
      <c r="A83" t="s">
        <v>17</v>
      </c>
      <c r="B83" t="s">
        <v>21</v>
      </c>
      <c r="C83" t="str">
        <f t="shared" si="4"/>
        <v>IPL-2009</v>
      </c>
      <c r="D83">
        <f t="shared" si="5"/>
        <v>2009</v>
      </c>
      <c r="E83" s="1">
        <v>39935</v>
      </c>
      <c r="F83" t="s">
        <v>21</v>
      </c>
      <c r="G83" t="s">
        <v>12</v>
      </c>
      <c r="H83" t="str">
        <f t="shared" si="3"/>
        <v>LOSS</v>
      </c>
      <c r="I83" t="s">
        <v>17</v>
      </c>
      <c r="J83" t="s">
        <v>89</v>
      </c>
      <c r="K83" t="s">
        <v>90</v>
      </c>
    </row>
    <row r="84" spans="1:11" x14ac:dyDescent="0.3">
      <c r="A84" t="s">
        <v>16</v>
      </c>
      <c r="B84" t="s">
        <v>11</v>
      </c>
      <c r="C84" t="str">
        <f t="shared" si="4"/>
        <v>IPL-2009</v>
      </c>
      <c r="D84">
        <f t="shared" si="5"/>
        <v>2009</v>
      </c>
      <c r="E84" s="1">
        <v>39936</v>
      </c>
      <c r="F84" t="s">
        <v>11</v>
      </c>
      <c r="G84" t="s">
        <v>18</v>
      </c>
      <c r="H84" t="str">
        <f t="shared" si="3"/>
        <v>LOSS</v>
      </c>
      <c r="I84" t="s">
        <v>16</v>
      </c>
      <c r="J84" t="s">
        <v>58</v>
      </c>
      <c r="K84" t="s">
        <v>76</v>
      </c>
    </row>
    <row r="85" spans="1:11" x14ac:dyDescent="0.3">
      <c r="A85" t="s">
        <v>10</v>
      </c>
      <c r="B85" t="s">
        <v>25</v>
      </c>
      <c r="C85" t="str">
        <f t="shared" si="4"/>
        <v>IPL-2009</v>
      </c>
      <c r="D85">
        <f t="shared" si="5"/>
        <v>2009</v>
      </c>
      <c r="E85" s="1">
        <v>39936</v>
      </c>
      <c r="F85" t="s">
        <v>25</v>
      </c>
      <c r="G85" t="s">
        <v>18</v>
      </c>
      <c r="H85" t="str">
        <f t="shared" si="3"/>
        <v>LOSS</v>
      </c>
      <c r="I85" t="s">
        <v>10</v>
      </c>
      <c r="J85" t="s">
        <v>91</v>
      </c>
      <c r="K85" t="s">
        <v>90</v>
      </c>
    </row>
    <row r="86" spans="1:11" x14ac:dyDescent="0.3">
      <c r="A86" t="s">
        <v>17</v>
      </c>
      <c r="B86" t="s">
        <v>28</v>
      </c>
      <c r="C86" t="str">
        <f t="shared" si="4"/>
        <v>IPL-2009</v>
      </c>
      <c r="D86">
        <f t="shared" si="5"/>
        <v>2009</v>
      </c>
      <c r="E86" s="1">
        <v>39937</v>
      </c>
      <c r="F86" t="s">
        <v>17</v>
      </c>
      <c r="G86" t="s">
        <v>18</v>
      </c>
      <c r="H86" t="str">
        <f t="shared" si="3"/>
        <v>WIN</v>
      </c>
      <c r="I86" t="s">
        <v>17</v>
      </c>
      <c r="J86" t="s">
        <v>43</v>
      </c>
      <c r="K86" t="s">
        <v>87</v>
      </c>
    </row>
    <row r="87" spans="1:11" x14ac:dyDescent="0.3">
      <c r="A87" t="s">
        <v>16</v>
      </c>
      <c r="B87" t="s">
        <v>22</v>
      </c>
      <c r="C87" t="str">
        <f t="shared" si="4"/>
        <v>IPL-2009</v>
      </c>
      <c r="D87">
        <f t="shared" si="5"/>
        <v>2009</v>
      </c>
      <c r="E87" s="1">
        <v>39938</v>
      </c>
      <c r="F87" t="s">
        <v>16</v>
      </c>
      <c r="G87" t="s">
        <v>12</v>
      </c>
      <c r="H87" t="str">
        <f t="shared" si="3"/>
        <v>LOSS</v>
      </c>
      <c r="I87" t="s">
        <v>22</v>
      </c>
      <c r="J87" t="s">
        <v>59</v>
      </c>
      <c r="K87" t="s">
        <v>78</v>
      </c>
    </row>
    <row r="88" spans="1:11" x14ac:dyDescent="0.3">
      <c r="A88" t="s">
        <v>21</v>
      </c>
      <c r="B88" t="s">
        <v>11</v>
      </c>
      <c r="C88" t="str">
        <f t="shared" si="4"/>
        <v>IPL-2009</v>
      </c>
      <c r="D88">
        <f t="shared" si="5"/>
        <v>2009</v>
      </c>
      <c r="E88" s="1">
        <v>39938</v>
      </c>
      <c r="F88" t="s">
        <v>11</v>
      </c>
      <c r="G88" t="s">
        <v>18</v>
      </c>
      <c r="H88" t="str">
        <f t="shared" si="3"/>
        <v>LOSS</v>
      </c>
      <c r="I88" t="s">
        <v>21</v>
      </c>
      <c r="J88" t="s">
        <v>92</v>
      </c>
      <c r="K88" t="s">
        <v>78</v>
      </c>
    </row>
    <row r="89" spans="1:11" x14ac:dyDescent="0.3">
      <c r="A89" t="s">
        <v>28</v>
      </c>
      <c r="B89" t="s">
        <v>25</v>
      </c>
      <c r="C89" t="str">
        <f t="shared" si="4"/>
        <v>IPL-2009</v>
      </c>
      <c r="D89">
        <f t="shared" si="5"/>
        <v>2009</v>
      </c>
      <c r="E89" s="1">
        <v>39939</v>
      </c>
      <c r="F89" t="s">
        <v>28</v>
      </c>
      <c r="G89" t="s">
        <v>18</v>
      </c>
      <c r="H89" t="str">
        <f t="shared" si="3"/>
        <v>WIN</v>
      </c>
      <c r="I89" t="s">
        <v>28</v>
      </c>
      <c r="J89" t="s">
        <v>93</v>
      </c>
      <c r="K89" t="s">
        <v>84</v>
      </c>
    </row>
    <row r="90" spans="1:11" x14ac:dyDescent="0.3">
      <c r="A90" t="s">
        <v>17</v>
      </c>
      <c r="B90" t="s">
        <v>16</v>
      </c>
      <c r="C90" t="str">
        <f t="shared" si="4"/>
        <v>IPL-2009</v>
      </c>
      <c r="D90">
        <f t="shared" si="5"/>
        <v>2009</v>
      </c>
      <c r="E90" s="1">
        <v>39940</v>
      </c>
      <c r="F90" t="s">
        <v>17</v>
      </c>
      <c r="G90" t="s">
        <v>18</v>
      </c>
      <c r="H90" t="str">
        <f t="shared" si="3"/>
        <v>WIN</v>
      </c>
      <c r="I90" t="s">
        <v>17</v>
      </c>
      <c r="J90" t="s">
        <v>35</v>
      </c>
      <c r="K90" t="s">
        <v>84</v>
      </c>
    </row>
    <row r="91" spans="1:11" x14ac:dyDescent="0.3">
      <c r="A91" t="s">
        <v>10</v>
      </c>
      <c r="B91" t="s">
        <v>22</v>
      </c>
      <c r="C91" t="str">
        <f t="shared" si="4"/>
        <v>IPL-2009</v>
      </c>
      <c r="D91">
        <f t="shared" si="5"/>
        <v>2009</v>
      </c>
      <c r="E91" s="1">
        <v>39940</v>
      </c>
      <c r="F91" t="s">
        <v>22</v>
      </c>
      <c r="G91" t="s">
        <v>12</v>
      </c>
      <c r="H91" t="str">
        <f t="shared" si="3"/>
        <v>WIN</v>
      </c>
      <c r="I91" t="s">
        <v>22</v>
      </c>
      <c r="J91" t="s">
        <v>94</v>
      </c>
      <c r="K91" t="s">
        <v>84</v>
      </c>
    </row>
    <row r="92" spans="1:11" x14ac:dyDescent="0.3">
      <c r="A92" t="s">
        <v>21</v>
      </c>
      <c r="B92" t="s">
        <v>25</v>
      </c>
      <c r="C92" t="str">
        <f t="shared" si="4"/>
        <v>IPL-2009</v>
      </c>
      <c r="D92">
        <f t="shared" si="5"/>
        <v>2009</v>
      </c>
      <c r="E92" s="1">
        <v>39941</v>
      </c>
      <c r="F92" t="s">
        <v>25</v>
      </c>
      <c r="G92" t="s">
        <v>18</v>
      </c>
      <c r="H92" t="str">
        <f t="shared" si="3"/>
        <v>LOSS</v>
      </c>
      <c r="I92" t="s">
        <v>21</v>
      </c>
      <c r="J92" t="s">
        <v>53</v>
      </c>
      <c r="K92" t="s">
        <v>87</v>
      </c>
    </row>
    <row r="93" spans="1:11" x14ac:dyDescent="0.3">
      <c r="A93" t="s">
        <v>17</v>
      </c>
      <c r="B93" t="s">
        <v>22</v>
      </c>
      <c r="C93" t="str">
        <f t="shared" si="4"/>
        <v>IPL-2009</v>
      </c>
      <c r="D93">
        <f t="shared" si="5"/>
        <v>2009</v>
      </c>
      <c r="E93" s="1">
        <v>39942</v>
      </c>
      <c r="F93" t="s">
        <v>22</v>
      </c>
      <c r="G93" t="s">
        <v>18</v>
      </c>
      <c r="H93" t="str">
        <f t="shared" si="3"/>
        <v>LOSS</v>
      </c>
      <c r="I93" t="s">
        <v>17</v>
      </c>
      <c r="J93" t="s">
        <v>95</v>
      </c>
      <c r="K93" t="s">
        <v>96</v>
      </c>
    </row>
    <row r="94" spans="1:11" x14ac:dyDescent="0.3">
      <c r="A94" t="s">
        <v>28</v>
      </c>
      <c r="B94" t="s">
        <v>16</v>
      </c>
      <c r="C94" t="str">
        <f t="shared" si="4"/>
        <v>IPL-2009</v>
      </c>
      <c r="D94">
        <f t="shared" si="5"/>
        <v>2009</v>
      </c>
      <c r="E94" s="1">
        <v>39942</v>
      </c>
      <c r="F94" t="s">
        <v>16</v>
      </c>
      <c r="G94" t="s">
        <v>12</v>
      </c>
      <c r="H94" t="str">
        <f t="shared" si="3"/>
        <v>WIN</v>
      </c>
      <c r="I94" t="s">
        <v>16</v>
      </c>
      <c r="J94" t="s">
        <v>58</v>
      </c>
      <c r="K94" t="s">
        <v>96</v>
      </c>
    </row>
    <row r="95" spans="1:11" x14ac:dyDescent="0.3">
      <c r="A95" t="s">
        <v>10</v>
      </c>
      <c r="B95" t="s">
        <v>25</v>
      </c>
      <c r="C95" t="str">
        <f t="shared" si="4"/>
        <v>IPL-2009</v>
      </c>
      <c r="D95">
        <f t="shared" si="5"/>
        <v>2009</v>
      </c>
      <c r="E95" s="1">
        <v>39943</v>
      </c>
      <c r="F95" t="s">
        <v>25</v>
      </c>
      <c r="G95" t="s">
        <v>18</v>
      </c>
      <c r="H95" t="str">
        <f t="shared" si="3"/>
        <v>WIN</v>
      </c>
      <c r="I95" t="s">
        <v>25</v>
      </c>
      <c r="J95" t="s">
        <v>86</v>
      </c>
      <c r="K95" t="s">
        <v>76</v>
      </c>
    </row>
    <row r="96" spans="1:11" x14ac:dyDescent="0.3">
      <c r="A96" t="s">
        <v>21</v>
      </c>
      <c r="B96" t="s">
        <v>11</v>
      </c>
      <c r="C96" t="str">
        <f t="shared" si="4"/>
        <v>IPL-2009</v>
      </c>
      <c r="D96">
        <f t="shared" si="5"/>
        <v>2009</v>
      </c>
      <c r="E96" s="1">
        <v>39943</v>
      </c>
      <c r="F96" t="s">
        <v>21</v>
      </c>
      <c r="G96" t="s">
        <v>12</v>
      </c>
      <c r="H96" t="str">
        <f t="shared" si="3"/>
        <v>WIN</v>
      </c>
      <c r="I96" t="s">
        <v>21</v>
      </c>
      <c r="J96" t="s">
        <v>57</v>
      </c>
      <c r="K96" t="s">
        <v>90</v>
      </c>
    </row>
    <row r="97" spans="1:11" x14ac:dyDescent="0.3">
      <c r="A97" t="s">
        <v>28</v>
      </c>
      <c r="B97" t="s">
        <v>22</v>
      </c>
      <c r="C97" t="str">
        <f t="shared" si="4"/>
        <v>IPL-2009</v>
      </c>
      <c r="D97">
        <f t="shared" si="5"/>
        <v>2009</v>
      </c>
      <c r="E97" s="1">
        <v>39944</v>
      </c>
      <c r="F97" t="s">
        <v>28</v>
      </c>
      <c r="G97" t="s">
        <v>18</v>
      </c>
      <c r="H97" t="str">
        <f t="shared" si="3"/>
        <v>WIN</v>
      </c>
      <c r="I97" t="s">
        <v>28</v>
      </c>
      <c r="J97" t="s">
        <v>97</v>
      </c>
      <c r="K97" t="s">
        <v>96</v>
      </c>
    </row>
    <row r="98" spans="1:11" x14ac:dyDescent="0.3">
      <c r="A98" t="s">
        <v>10</v>
      </c>
      <c r="B98" t="s">
        <v>11</v>
      </c>
      <c r="C98" t="str">
        <f t="shared" si="4"/>
        <v>IPL-2009</v>
      </c>
      <c r="D98">
        <f t="shared" si="5"/>
        <v>2009</v>
      </c>
      <c r="E98" s="1">
        <v>39945</v>
      </c>
      <c r="F98" t="s">
        <v>10</v>
      </c>
      <c r="G98" t="s">
        <v>12</v>
      </c>
      <c r="H98" t="str">
        <f t="shared" si="3"/>
        <v>WIN</v>
      </c>
      <c r="I98" t="s">
        <v>10</v>
      </c>
      <c r="J98" t="s">
        <v>98</v>
      </c>
      <c r="K98" t="s">
        <v>84</v>
      </c>
    </row>
    <row r="99" spans="1:11" x14ac:dyDescent="0.3">
      <c r="A99" t="s">
        <v>16</v>
      </c>
      <c r="B99" t="s">
        <v>25</v>
      </c>
      <c r="C99" t="str">
        <f t="shared" si="4"/>
        <v>IPL-2009</v>
      </c>
      <c r="D99">
        <f t="shared" si="5"/>
        <v>2009</v>
      </c>
      <c r="E99" s="1">
        <v>39945</v>
      </c>
      <c r="F99" t="s">
        <v>16</v>
      </c>
      <c r="G99" t="s">
        <v>18</v>
      </c>
      <c r="H99" t="str">
        <f t="shared" si="3"/>
        <v>LOSS</v>
      </c>
      <c r="I99" t="s">
        <v>25</v>
      </c>
      <c r="J99" t="s">
        <v>99</v>
      </c>
      <c r="K99" t="s">
        <v>84</v>
      </c>
    </row>
    <row r="100" spans="1:11" x14ac:dyDescent="0.3">
      <c r="A100" t="s">
        <v>28</v>
      </c>
      <c r="B100" t="s">
        <v>21</v>
      </c>
      <c r="C100" t="str">
        <f t="shared" si="4"/>
        <v>IPL-2009</v>
      </c>
      <c r="D100">
        <f t="shared" si="5"/>
        <v>2009</v>
      </c>
      <c r="E100" s="1">
        <v>39946</v>
      </c>
      <c r="F100" t="s">
        <v>28</v>
      </c>
      <c r="G100" t="s">
        <v>12</v>
      </c>
      <c r="H100" t="str">
        <f t="shared" si="3"/>
        <v>LOSS</v>
      </c>
      <c r="I100" t="s">
        <v>21</v>
      </c>
      <c r="J100" t="s">
        <v>100</v>
      </c>
      <c r="K100" t="s">
        <v>78</v>
      </c>
    </row>
    <row r="101" spans="1:11" x14ac:dyDescent="0.3">
      <c r="A101" t="s">
        <v>10</v>
      </c>
      <c r="B101" t="s">
        <v>17</v>
      </c>
      <c r="C101" t="str">
        <f t="shared" si="4"/>
        <v>IPL-2009</v>
      </c>
      <c r="D101">
        <f t="shared" si="5"/>
        <v>2009</v>
      </c>
      <c r="E101" s="1">
        <v>39947</v>
      </c>
      <c r="F101" t="s">
        <v>17</v>
      </c>
      <c r="G101" t="s">
        <v>18</v>
      </c>
      <c r="H101" t="str">
        <f t="shared" si="3"/>
        <v>LOSS</v>
      </c>
      <c r="I101" t="s">
        <v>10</v>
      </c>
      <c r="J101" t="s">
        <v>98</v>
      </c>
      <c r="K101" t="s">
        <v>78</v>
      </c>
    </row>
    <row r="102" spans="1:11" x14ac:dyDescent="0.3">
      <c r="A102" t="s">
        <v>25</v>
      </c>
      <c r="B102" t="s">
        <v>22</v>
      </c>
      <c r="C102" t="str">
        <f t="shared" si="4"/>
        <v>IPL-2009</v>
      </c>
      <c r="D102">
        <f t="shared" si="5"/>
        <v>2009</v>
      </c>
      <c r="E102" s="1">
        <v>39947</v>
      </c>
      <c r="F102" t="s">
        <v>22</v>
      </c>
      <c r="G102" t="s">
        <v>18</v>
      </c>
      <c r="H102" t="str">
        <f t="shared" si="3"/>
        <v>WIN</v>
      </c>
      <c r="I102" t="s">
        <v>22</v>
      </c>
      <c r="J102" t="s">
        <v>101</v>
      </c>
      <c r="K102" t="s">
        <v>78</v>
      </c>
    </row>
    <row r="103" spans="1:11" x14ac:dyDescent="0.3">
      <c r="A103" t="s">
        <v>21</v>
      </c>
      <c r="B103" t="s">
        <v>16</v>
      </c>
      <c r="C103" t="str">
        <f t="shared" si="4"/>
        <v>IPL-2009</v>
      </c>
      <c r="D103">
        <f t="shared" si="5"/>
        <v>2009</v>
      </c>
      <c r="E103" s="1">
        <v>39948</v>
      </c>
      <c r="F103" t="s">
        <v>16</v>
      </c>
      <c r="G103" t="s">
        <v>12</v>
      </c>
      <c r="H103" t="str">
        <f t="shared" si="3"/>
        <v>WIN</v>
      </c>
      <c r="I103" t="s">
        <v>16</v>
      </c>
      <c r="J103" t="s">
        <v>102</v>
      </c>
      <c r="K103" t="s">
        <v>103</v>
      </c>
    </row>
    <row r="104" spans="1:11" x14ac:dyDescent="0.3">
      <c r="A104" t="s">
        <v>17</v>
      </c>
      <c r="B104" t="s">
        <v>25</v>
      </c>
      <c r="C104" t="str">
        <f t="shared" si="4"/>
        <v>IPL-2009</v>
      </c>
      <c r="D104">
        <f t="shared" si="5"/>
        <v>2009</v>
      </c>
      <c r="E104" s="1">
        <v>39949</v>
      </c>
      <c r="F104" t="s">
        <v>25</v>
      </c>
      <c r="G104" t="s">
        <v>18</v>
      </c>
      <c r="H104" t="str">
        <f t="shared" si="3"/>
        <v>LOSS</v>
      </c>
      <c r="I104" t="s">
        <v>17</v>
      </c>
      <c r="J104" t="s">
        <v>35</v>
      </c>
      <c r="K104" t="s">
        <v>76</v>
      </c>
    </row>
    <row r="105" spans="1:11" x14ac:dyDescent="0.3">
      <c r="A105" t="s">
        <v>28</v>
      </c>
      <c r="B105" t="s">
        <v>11</v>
      </c>
      <c r="C105" t="str">
        <f t="shared" si="4"/>
        <v>IPL-2009</v>
      </c>
      <c r="D105">
        <f t="shared" si="5"/>
        <v>2009</v>
      </c>
      <c r="E105" s="1">
        <v>39949</v>
      </c>
      <c r="F105" t="s">
        <v>28</v>
      </c>
      <c r="G105" t="s">
        <v>12</v>
      </c>
      <c r="H105" t="str">
        <f t="shared" si="3"/>
        <v>WIN</v>
      </c>
      <c r="I105" t="s">
        <v>28</v>
      </c>
      <c r="J105" t="s">
        <v>93</v>
      </c>
      <c r="K105" t="s">
        <v>90</v>
      </c>
    </row>
    <row r="106" spans="1:11" x14ac:dyDescent="0.3">
      <c r="A106" t="s">
        <v>28</v>
      </c>
      <c r="B106" t="s">
        <v>16</v>
      </c>
      <c r="C106" t="str">
        <f t="shared" si="4"/>
        <v>IPL-2009</v>
      </c>
      <c r="D106">
        <f t="shared" si="5"/>
        <v>2009</v>
      </c>
      <c r="E106" s="1">
        <v>39950</v>
      </c>
      <c r="F106" t="s">
        <v>28</v>
      </c>
      <c r="G106" t="s">
        <v>12</v>
      </c>
      <c r="H106" t="str">
        <f t="shared" si="3"/>
        <v>LOSS</v>
      </c>
      <c r="I106" t="s">
        <v>16</v>
      </c>
      <c r="J106" t="s">
        <v>88</v>
      </c>
      <c r="K106" t="s">
        <v>90</v>
      </c>
    </row>
    <row r="107" spans="1:11" x14ac:dyDescent="0.3">
      <c r="A107" t="s">
        <v>21</v>
      </c>
      <c r="B107" t="s">
        <v>22</v>
      </c>
      <c r="C107" t="str">
        <f t="shared" si="4"/>
        <v>IPL-2009</v>
      </c>
      <c r="D107">
        <f t="shared" si="5"/>
        <v>2009</v>
      </c>
      <c r="E107" s="1">
        <v>39950</v>
      </c>
      <c r="F107" t="s">
        <v>21</v>
      </c>
      <c r="G107" t="s">
        <v>18</v>
      </c>
      <c r="H107" t="str">
        <f t="shared" si="3"/>
        <v>WIN</v>
      </c>
      <c r="I107" t="s">
        <v>21</v>
      </c>
      <c r="J107" t="s">
        <v>79</v>
      </c>
      <c r="K107" t="s">
        <v>103</v>
      </c>
    </row>
    <row r="108" spans="1:11" x14ac:dyDescent="0.3">
      <c r="A108" t="s">
        <v>17</v>
      </c>
      <c r="B108" t="s">
        <v>11</v>
      </c>
      <c r="C108" t="str">
        <f t="shared" si="4"/>
        <v>IPL-2009</v>
      </c>
      <c r="D108">
        <f t="shared" si="5"/>
        <v>2009</v>
      </c>
      <c r="E108" s="1">
        <v>39951</v>
      </c>
      <c r="F108" t="s">
        <v>17</v>
      </c>
      <c r="G108" t="s">
        <v>18</v>
      </c>
      <c r="H108" t="str">
        <f t="shared" si="3"/>
        <v>LOSS</v>
      </c>
      <c r="I108" t="s">
        <v>11</v>
      </c>
      <c r="J108" t="s">
        <v>104</v>
      </c>
      <c r="K108" t="s">
        <v>84</v>
      </c>
    </row>
    <row r="109" spans="1:11" x14ac:dyDescent="0.3">
      <c r="A109" t="s">
        <v>10</v>
      </c>
      <c r="B109" t="s">
        <v>21</v>
      </c>
      <c r="C109" t="str">
        <f t="shared" si="4"/>
        <v>IPL-2009</v>
      </c>
      <c r="D109">
        <f t="shared" si="5"/>
        <v>2009</v>
      </c>
      <c r="E109" s="1">
        <v>39952</v>
      </c>
      <c r="F109" t="s">
        <v>21</v>
      </c>
      <c r="G109" t="s">
        <v>18</v>
      </c>
      <c r="H109" t="str">
        <f t="shared" si="3"/>
        <v>LOSS</v>
      </c>
      <c r="I109" t="s">
        <v>10</v>
      </c>
      <c r="J109" t="s">
        <v>91</v>
      </c>
      <c r="K109" t="s">
        <v>90</v>
      </c>
    </row>
    <row r="110" spans="1:11" x14ac:dyDescent="0.3">
      <c r="A110" t="s">
        <v>11</v>
      </c>
      <c r="B110" t="s">
        <v>22</v>
      </c>
      <c r="C110" t="str">
        <f t="shared" si="4"/>
        <v>IPL-2009</v>
      </c>
      <c r="D110">
        <f t="shared" si="5"/>
        <v>2009</v>
      </c>
      <c r="E110" s="1">
        <v>39953</v>
      </c>
      <c r="F110" t="s">
        <v>11</v>
      </c>
      <c r="G110" t="s">
        <v>12</v>
      </c>
      <c r="H110" t="str">
        <f t="shared" si="3"/>
        <v>WIN</v>
      </c>
      <c r="I110" t="s">
        <v>11</v>
      </c>
      <c r="J110" t="s">
        <v>105</v>
      </c>
      <c r="K110" t="s">
        <v>78</v>
      </c>
    </row>
    <row r="111" spans="1:11" x14ac:dyDescent="0.3">
      <c r="A111" t="s">
        <v>17</v>
      </c>
      <c r="B111" t="s">
        <v>16</v>
      </c>
      <c r="C111" t="str">
        <f t="shared" si="4"/>
        <v>IPL-2009</v>
      </c>
      <c r="D111">
        <f t="shared" si="5"/>
        <v>2009</v>
      </c>
      <c r="E111" s="1">
        <v>39953</v>
      </c>
      <c r="F111" t="s">
        <v>17</v>
      </c>
      <c r="G111" t="s">
        <v>18</v>
      </c>
      <c r="H111" t="str">
        <f t="shared" si="3"/>
        <v>WIN</v>
      </c>
      <c r="I111" t="s">
        <v>17</v>
      </c>
      <c r="J111" t="s">
        <v>75</v>
      </c>
      <c r="K111" t="s">
        <v>78</v>
      </c>
    </row>
    <row r="112" spans="1:11" x14ac:dyDescent="0.3">
      <c r="A112" t="s">
        <v>21</v>
      </c>
      <c r="B112" t="s">
        <v>25</v>
      </c>
      <c r="C112" t="str">
        <f t="shared" si="4"/>
        <v>IPL-2009</v>
      </c>
      <c r="D112">
        <f t="shared" si="5"/>
        <v>2009</v>
      </c>
      <c r="E112" s="1">
        <v>39954</v>
      </c>
      <c r="F112" t="s">
        <v>21</v>
      </c>
      <c r="G112" t="s">
        <v>12</v>
      </c>
      <c r="H112" t="str">
        <f t="shared" si="3"/>
        <v>WIN</v>
      </c>
      <c r="I112" t="s">
        <v>21</v>
      </c>
      <c r="J112" t="s">
        <v>33</v>
      </c>
      <c r="K112" t="s">
        <v>84</v>
      </c>
    </row>
    <row r="113" spans="1:11" x14ac:dyDescent="0.3">
      <c r="A113" t="s">
        <v>10</v>
      </c>
      <c r="B113" t="s">
        <v>28</v>
      </c>
      <c r="C113" t="str">
        <f t="shared" si="4"/>
        <v>IPL-2009</v>
      </c>
      <c r="D113">
        <f t="shared" si="5"/>
        <v>2009</v>
      </c>
      <c r="E113" s="1">
        <v>39954</v>
      </c>
      <c r="F113" t="s">
        <v>10</v>
      </c>
      <c r="G113" t="s">
        <v>18</v>
      </c>
      <c r="H113" t="str">
        <f t="shared" si="3"/>
        <v>WIN</v>
      </c>
      <c r="I113" t="s">
        <v>10</v>
      </c>
      <c r="J113" t="s">
        <v>106</v>
      </c>
      <c r="K113" t="s">
        <v>84</v>
      </c>
    </row>
    <row r="114" spans="1:11" x14ac:dyDescent="0.3">
      <c r="A114" t="s">
        <v>21</v>
      </c>
      <c r="B114" t="s">
        <v>28</v>
      </c>
      <c r="C114" t="str">
        <f t="shared" si="4"/>
        <v>IPL-2009</v>
      </c>
      <c r="D114">
        <f t="shared" si="5"/>
        <v>2009</v>
      </c>
      <c r="E114" s="1">
        <v>39955</v>
      </c>
      <c r="F114" t="s">
        <v>28</v>
      </c>
      <c r="G114" t="s">
        <v>12</v>
      </c>
      <c r="H114" t="str">
        <f t="shared" si="3"/>
        <v>WIN</v>
      </c>
      <c r="I114" t="s">
        <v>28</v>
      </c>
      <c r="J114" t="s">
        <v>40</v>
      </c>
      <c r="K114" t="s">
        <v>84</v>
      </c>
    </row>
    <row r="115" spans="1:11" x14ac:dyDescent="0.3">
      <c r="A115" t="s">
        <v>10</v>
      </c>
      <c r="B115" t="s">
        <v>17</v>
      </c>
      <c r="C115" t="str">
        <f t="shared" si="4"/>
        <v>IPL-2009</v>
      </c>
      <c r="D115">
        <f t="shared" si="5"/>
        <v>2009</v>
      </c>
      <c r="E115" s="1">
        <v>39956</v>
      </c>
      <c r="F115" t="s">
        <v>10</v>
      </c>
      <c r="G115" t="s">
        <v>12</v>
      </c>
      <c r="H115" t="str">
        <f t="shared" si="3"/>
        <v>WIN</v>
      </c>
      <c r="I115" t="s">
        <v>10</v>
      </c>
      <c r="J115" t="s">
        <v>106</v>
      </c>
      <c r="K115" t="s">
        <v>90</v>
      </c>
    </row>
    <row r="116" spans="1:11" x14ac:dyDescent="0.3">
      <c r="A116" t="s">
        <v>10</v>
      </c>
      <c r="B116" t="s">
        <v>28</v>
      </c>
      <c r="C116" t="str">
        <f t="shared" si="4"/>
        <v>IPL-2009</v>
      </c>
      <c r="D116">
        <f t="shared" si="5"/>
        <v>2009</v>
      </c>
      <c r="E116" s="1">
        <v>39957</v>
      </c>
      <c r="F116" t="s">
        <v>10</v>
      </c>
      <c r="G116" t="s">
        <v>12</v>
      </c>
      <c r="H116" t="str">
        <f t="shared" si="3"/>
        <v>LOSS</v>
      </c>
      <c r="I116" t="s">
        <v>28</v>
      </c>
      <c r="J116" t="s">
        <v>63</v>
      </c>
      <c r="K116" t="s">
        <v>90</v>
      </c>
    </row>
    <row r="117" spans="1:11" x14ac:dyDescent="0.3">
      <c r="A117" t="s">
        <v>28</v>
      </c>
      <c r="B117" t="s">
        <v>11</v>
      </c>
      <c r="C117" t="str">
        <f t="shared" si="4"/>
        <v>IPL-2010</v>
      </c>
      <c r="D117">
        <f t="shared" si="5"/>
        <v>2010</v>
      </c>
      <c r="E117" s="1">
        <v>40249</v>
      </c>
      <c r="F117" t="s">
        <v>28</v>
      </c>
      <c r="G117" t="s">
        <v>12</v>
      </c>
      <c r="H117" t="str">
        <f t="shared" si="3"/>
        <v>LOSS</v>
      </c>
      <c r="I117" t="s">
        <v>11</v>
      </c>
      <c r="J117" t="s">
        <v>107</v>
      </c>
      <c r="K117" t="s">
        <v>41</v>
      </c>
    </row>
    <row r="118" spans="1:11" x14ac:dyDescent="0.3">
      <c r="A118" t="s">
        <v>25</v>
      </c>
      <c r="B118" t="s">
        <v>22</v>
      </c>
      <c r="C118" t="str">
        <f t="shared" si="4"/>
        <v>IPL-2010</v>
      </c>
      <c r="D118">
        <f t="shared" si="5"/>
        <v>2010</v>
      </c>
      <c r="E118" s="1">
        <v>40250</v>
      </c>
      <c r="F118" t="s">
        <v>25</v>
      </c>
      <c r="G118" t="s">
        <v>18</v>
      </c>
      <c r="H118" t="str">
        <f t="shared" si="3"/>
        <v>WIN</v>
      </c>
      <c r="I118" t="s">
        <v>25</v>
      </c>
      <c r="J118" t="s">
        <v>37</v>
      </c>
      <c r="K118" t="s">
        <v>108</v>
      </c>
    </row>
    <row r="119" spans="1:11" x14ac:dyDescent="0.3">
      <c r="A119" t="s">
        <v>16</v>
      </c>
      <c r="B119" t="s">
        <v>21</v>
      </c>
      <c r="C119" t="str">
        <f t="shared" si="4"/>
        <v>IPL-2010</v>
      </c>
      <c r="D119">
        <f t="shared" si="5"/>
        <v>2010</v>
      </c>
      <c r="E119" s="1">
        <v>40250</v>
      </c>
      <c r="F119" t="s">
        <v>21</v>
      </c>
      <c r="G119" t="s">
        <v>12</v>
      </c>
      <c r="H119" t="str">
        <f t="shared" si="3"/>
        <v>WIN</v>
      </c>
      <c r="I119" t="s">
        <v>21</v>
      </c>
      <c r="J119" t="s">
        <v>92</v>
      </c>
      <c r="K119" t="s">
        <v>20</v>
      </c>
    </row>
    <row r="120" spans="1:11" x14ac:dyDescent="0.3">
      <c r="A120" t="s">
        <v>11</v>
      </c>
      <c r="B120" t="s">
        <v>10</v>
      </c>
      <c r="C120" t="str">
        <f t="shared" si="4"/>
        <v>IPL-2010</v>
      </c>
      <c r="D120">
        <f t="shared" si="5"/>
        <v>2010</v>
      </c>
      <c r="E120" s="1">
        <v>40251</v>
      </c>
      <c r="F120" t="s">
        <v>11</v>
      </c>
      <c r="G120" t="s">
        <v>12</v>
      </c>
      <c r="H120" t="str">
        <f t="shared" si="3"/>
        <v>WIN</v>
      </c>
      <c r="I120" t="s">
        <v>11</v>
      </c>
      <c r="J120" t="s">
        <v>109</v>
      </c>
      <c r="K120" t="s">
        <v>30</v>
      </c>
    </row>
    <row r="121" spans="1:11" x14ac:dyDescent="0.3">
      <c r="A121" t="s">
        <v>17</v>
      </c>
      <c r="B121" t="s">
        <v>28</v>
      </c>
      <c r="C121" t="str">
        <f t="shared" si="4"/>
        <v>IPL-2010</v>
      </c>
      <c r="D121">
        <f t="shared" si="5"/>
        <v>2010</v>
      </c>
      <c r="E121" s="1">
        <v>40251</v>
      </c>
      <c r="F121" t="s">
        <v>28</v>
      </c>
      <c r="G121" t="s">
        <v>18</v>
      </c>
      <c r="H121" t="str">
        <f t="shared" si="3"/>
        <v>WIN</v>
      </c>
      <c r="I121" t="s">
        <v>28</v>
      </c>
      <c r="J121" t="s">
        <v>110</v>
      </c>
      <c r="K121" t="s">
        <v>36</v>
      </c>
    </row>
    <row r="122" spans="1:11" x14ac:dyDescent="0.3">
      <c r="A122" t="s">
        <v>22</v>
      </c>
      <c r="B122" t="s">
        <v>21</v>
      </c>
      <c r="C122" t="str">
        <f t="shared" si="4"/>
        <v>IPL-2010</v>
      </c>
      <c r="D122">
        <f t="shared" si="5"/>
        <v>2010</v>
      </c>
      <c r="E122" s="1">
        <v>40252</v>
      </c>
      <c r="F122" t="s">
        <v>21</v>
      </c>
      <c r="G122" t="s">
        <v>12</v>
      </c>
      <c r="H122" t="str">
        <f t="shared" si="3"/>
        <v>WIN</v>
      </c>
      <c r="I122" t="s">
        <v>21</v>
      </c>
      <c r="J122" t="s">
        <v>33</v>
      </c>
      <c r="K122" t="s">
        <v>111</v>
      </c>
    </row>
    <row r="123" spans="1:11" x14ac:dyDescent="0.3">
      <c r="A123" t="s">
        <v>10</v>
      </c>
      <c r="B123" t="s">
        <v>16</v>
      </c>
      <c r="C123" t="str">
        <f t="shared" si="4"/>
        <v>IPL-2010</v>
      </c>
      <c r="D123">
        <f t="shared" si="5"/>
        <v>2010</v>
      </c>
      <c r="E123" s="1">
        <v>40253</v>
      </c>
      <c r="F123" t="s">
        <v>16</v>
      </c>
      <c r="G123" t="s">
        <v>18</v>
      </c>
      <c r="H123" t="str">
        <f t="shared" si="3"/>
        <v>LOSS</v>
      </c>
      <c r="I123" t="s">
        <v>10</v>
      </c>
      <c r="J123" t="s">
        <v>91</v>
      </c>
      <c r="K123" t="s">
        <v>14</v>
      </c>
    </row>
    <row r="124" spans="1:11" x14ac:dyDescent="0.3">
      <c r="A124" t="s">
        <v>11</v>
      </c>
      <c r="B124" t="s">
        <v>17</v>
      </c>
      <c r="C124" t="str">
        <f t="shared" si="4"/>
        <v>IPL-2010</v>
      </c>
      <c r="D124">
        <f t="shared" si="5"/>
        <v>2010</v>
      </c>
      <c r="E124" s="1">
        <v>40253</v>
      </c>
      <c r="F124" t="s">
        <v>17</v>
      </c>
      <c r="G124" t="s">
        <v>18</v>
      </c>
      <c r="H124" t="str">
        <f t="shared" si="3"/>
        <v>WIN</v>
      </c>
      <c r="I124" t="s">
        <v>17</v>
      </c>
      <c r="J124" t="s">
        <v>43</v>
      </c>
      <c r="K124" t="s">
        <v>30</v>
      </c>
    </row>
    <row r="125" spans="1:11" x14ac:dyDescent="0.3">
      <c r="A125" t="s">
        <v>21</v>
      </c>
      <c r="B125" t="s">
        <v>25</v>
      </c>
      <c r="C125" t="str">
        <f t="shared" si="4"/>
        <v>IPL-2010</v>
      </c>
      <c r="D125">
        <f t="shared" si="5"/>
        <v>2010</v>
      </c>
      <c r="E125" s="1">
        <v>40254</v>
      </c>
      <c r="F125" t="s">
        <v>21</v>
      </c>
      <c r="G125" t="s">
        <v>12</v>
      </c>
      <c r="H125" t="str">
        <f t="shared" si="3"/>
        <v>LOSS</v>
      </c>
      <c r="I125" t="s">
        <v>25</v>
      </c>
      <c r="J125" t="s">
        <v>72</v>
      </c>
      <c r="K125" t="s">
        <v>24</v>
      </c>
    </row>
    <row r="126" spans="1:11" x14ac:dyDescent="0.3">
      <c r="A126" t="s">
        <v>10</v>
      </c>
      <c r="B126" t="s">
        <v>22</v>
      </c>
      <c r="C126" t="str">
        <f t="shared" si="4"/>
        <v>IPL-2010</v>
      </c>
      <c r="D126">
        <f t="shared" si="5"/>
        <v>2010</v>
      </c>
      <c r="E126" s="1">
        <v>40255</v>
      </c>
      <c r="F126" t="s">
        <v>10</v>
      </c>
      <c r="G126" t="s">
        <v>12</v>
      </c>
      <c r="H126" t="str">
        <f t="shared" si="3"/>
        <v>WIN</v>
      </c>
      <c r="I126" t="s">
        <v>10</v>
      </c>
      <c r="J126" t="s">
        <v>91</v>
      </c>
      <c r="K126" t="s">
        <v>14</v>
      </c>
    </row>
    <row r="127" spans="1:11" x14ac:dyDescent="0.3">
      <c r="A127" t="s">
        <v>28</v>
      </c>
      <c r="B127" t="s">
        <v>16</v>
      </c>
      <c r="C127" t="str">
        <f t="shared" si="4"/>
        <v>IPL-2010</v>
      </c>
      <c r="D127">
        <f t="shared" si="5"/>
        <v>2010</v>
      </c>
      <c r="E127" s="1">
        <v>40256</v>
      </c>
      <c r="F127" t="s">
        <v>16</v>
      </c>
      <c r="G127" t="s">
        <v>12</v>
      </c>
      <c r="H127" t="str">
        <f t="shared" si="3"/>
        <v>LOSS</v>
      </c>
      <c r="I127" t="s">
        <v>28</v>
      </c>
      <c r="J127" t="s">
        <v>112</v>
      </c>
      <c r="K127" t="s">
        <v>113</v>
      </c>
    </row>
    <row r="128" spans="1:11" x14ac:dyDescent="0.3">
      <c r="A128" t="s">
        <v>21</v>
      </c>
      <c r="B128" t="s">
        <v>17</v>
      </c>
      <c r="C128" t="str">
        <f t="shared" si="4"/>
        <v>IPL-2010</v>
      </c>
      <c r="D128">
        <f t="shared" si="5"/>
        <v>2010</v>
      </c>
      <c r="E128" s="1">
        <v>40256</v>
      </c>
      <c r="F128" t="s">
        <v>21</v>
      </c>
      <c r="G128" t="s">
        <v>18</v>
      </c>
      <c r="H128" t="str">
        <f t="shared" si="3"/>
        <v>LOSS</v>
      </c>
      <c r="I128" t="s">
        <v>17</v>
      </c>
      <c r="J128" t="s">
        <v>35</v>
      </c>
      <c r="K128" t="s">
        <v>24</v>
      </c>
    </row>
    <row r="129" spans="1:11" x14ac:dyDescent="0.3">
      <c r="A129" t="s">
        <v>25</v>
      </c>
      <c r="B129" t="s">
        <v>10</v>
      </c>
      <c r="C129" t="str">
        <f t="shared" si="4"/>
        <v>IPL-2010</v>
      </c>
      <c r="D129">
        <f t="shared" si="5"/>
        <v>2010</v>
      </c>
      <c r="E129" s="1">
        <v>40257</v>
      </c>
      <c r="F129" t="s">
        <v>25</v>
      </c>
      <c r="G129" t="s">
        <v>18</v>
      </c>
      <c r="H129" t="str">
        <f t="shared" si="3"/>
        <v>LOSS</v>
      </c>
      <c r="I129" t="s">
        <v>10</v>
      </c>
      <c r="J129" t="s">
        <v>91</v>
      </c>
      <c r="K129" t="s">
        <v>108</v>
      </c>
    </row>
    <row r="130" spans="1:11" x14ac:dyDescent="0.3">
      <c r="A130" t="s">
        <v>22</v>
      </c>
      <c r="B130" t="s">
        <v>11</v>
      </c>
      <c r="C130" t="str">
        <f t="shared" si="4"/>
        <v>IPL-2010</v>
      </c>
      <c r="D130">
        <f t="shared" si="5"/>
        <v>2010</v>
      </c>
      <c r="E130" s="1">
        <v>40257</v>
      </c>
      <c r="F130" t="s">
        <v>22</v>
      </c>
      <c r="G130" t="s">
        <v>18</v>
      </c>
      <c r="H130" t="str">
        <f t="shared" ref="H130:H193" si="6">IF(F130=I130,"WIN","LOSS")</f>
        <v>WIN</v>
      </c>
      <c r="I130" t="s">
        <v>22</v>
      </c>
      <c r="J130" t="s">
        <v>114</v>
      </c>
      <c r="K130" t="s">
        <v>111</v>
      </c>
    </row>
    <row r="131" spans="1:11" x14ac:dyDescent="0.3">
      <c r="A131" t="s">
        <v>28</v>
      </c>
      <c r="B131" t="s">
        <v>21</v>
      </c>
      <c r="C131" t="str">
        <f t="shared" ref="C131:C194" si="7">_xlfn.CONCAT("IPL-",D131)</f>
        <v>IPL-2010</v>
      </c>
      <c r="D131">
        <f t="shared" ref="D131:D194" si="8">YEAR(E131)</f>
        <v>2010</v>
      </c>
      <c r="E131" s="1">
        <v>40258</v>
      </c>
      <c r="F131" t="s">
        <v>28</v>
      </c>
      <c r="G131" t="s">
        <v>18</v>
      </c>
      <c r="H131" t="str">
        <f t="shared" si="6"/>
        <v>WIN</v>
      </c>
      <c r="I131" t="s">
        <v>28</v>
      </c>
      <c r="J131" t="s">
        <v>112</v>
      </c>
      <c r="K131" t="s">
        <v>113</v>
      </c>
    </row>
    <row r="132" spans="1:11" x14ac:dyDescent="0.3">
      <c r="A132" t="s">
        <v>17</v>
      </c>
      <c r="B132" t="s">
        <v>16</v>
      </c>
      <c r="C132" t="str">
        <f t="shared" si="7"/>
        <v>IPL-2010</v>
      </c>
      <c r="D132">
        <f t="shared" si="8"/>
        <v>2010</v>
      </c>
      <c r="E132" s="1">
        <v>40258</v>
      </c>
      <c r="F132" t="s">
        <v>17</v>
      </c>
      <c r="G132" t="s">
        <v>12</v>
      </c>
      <c r="H132" t="str">
        <f t="shared" si="6"/>
        <v>LOSS</v>
      </c>
      <c r="J132" t="s">
        <v>115</v>
      </c>
      <c r="K132" t="s">
        <v>36</v>
      </c>
    </row>
    <row r="133" spans="1:11" x14ac:dyDescent="0.3">
      <c r="A133" t="s">
        <v>25</v>
      </c>
      <c r="B133" t="s">
        <v>11</v>
      </c>
      <c r="C133" t="str">
        <f t="shared" si="7"/>
        <v>IPL-2010</v>
      </c>
      <c r="D133">
        <f t="shared" si="8"/>
        <v>2010</v>
      </c>
      <c r="E133" s="1">
        <v>40259</v>
      </c>
      <c r="F133" t="s">
        <v>11</v>
      </c>
      <c r="G133" t="s">
        <v>18</v>
      </c>
      <c r="H133" t="str">
        <f t="shared" si="6"/>
        <v>LOSS</v>
      </c>
      <c r="I133" t="s">
        <v>25</v>
      </c>
      <c r="J133" t="s">
        <v>72</v>
      </c>
      <c r="K133" t="s">
        <v>108</v>
      </c>
    </row>
    <row r="134" spans="1:11" x14ac:dyDescent="0.3">
      <c r="A134" t="s">
        <v>10</v>
      </c>
      <c r="B134" t="s">
        <v>17</v>
      </c>
      <c r="C134" t="str">
        <f t="shared" si="7"/>
        <v>IPL-2010</v>
      </c>
      <c r="D134">
        <f t="shared" si="8"/>
        <v>2010</v>
      </c>
      <c r="E134" s="1">
        <v>40260</v>
      </c>
      <c r="F134" t="s">
        <v>17</v>
      </c>
      <c r="G134" t="s">
        <v>12</v>
      </c>
      <c r="H134" t="str">
        <f t="shared" si="6"/>
        <v>LOSS</v>
      </c>
      <c r="I134" t="s">
        <v>10</v>
      </c>
      <c r="J134" t="s">
        <v>116</v>
      </c>
      <c r="K134" t="s">
        <v>14</v>
      </c>
    </row>
    <row r="135" spans="1:11" x14ac:dyDescent="0.3">
      <c r="A135" t="s">
        <v>16</v>
      </c>
      <c r="B135" t="s">
        <v>22</v>
      </c>
      <c r="C135" t="str">
        <f t="shared" si="7"/>
        <v>IPL-2010</v>
      </c>
      <c r="D135">
        <f t="shared" si="8"/>
        <v>2010</v>
      </c>
      <c r="E135" s="1">
        <v>40261</v>
      </c>
      <c r="F135" t="s">
        <v>16</v>
      </c>
      <c r="G135" t="s">
        <v>12</v>
      </c>
      <c r="H135" t="str">
        <f t="shared" si="6"/>
        <v>LOSS</v>
      </c>
      <c r="I135" t="s">
        <v>22</v>
      </c>
      <c r="J135" t="s">
        <v>117</v>
      </c>
      <c r="K135" t="s">
        <v>20</v>
      </c>
    </row>
    <row r="136" spans="1:11" x14ac:dyDescent="0.3">
      <c r="A136" t="s">
        <v>17</v>
      </c>
      <c r="B136" t="s">
        <v>25</v>
      </c>
      <c r="C136" t="str">
        <f t="shared" si="7"/>
        <v>IPL-2010</v>
      </c>
      <c r="D136">
        <f t="shared" si="8"/>
        <v>2010</v>
      </c>
      <c r="E136" s="1">
        <v>40262</v>
      </c>
      <c r="F136" t="s">
        <v>25</v>
      </c>
      <c r="G136" t="s">
        <v>12</v>
      </c>
      <c r="H136" t="str">
        <f t="shared" si="6"/>
        <v>WIN</v>
      </c>
      <c r="I136" t="s">
        <v>25</v>
      </c>
      <c r="J136" t="s">
        <v>72</v>
      </c>
      <c r="K136" t="s">
        <v>118</v>
      </c>
    </row>
    <row r="137" spans="1:11" x14ac:dyDescent="0.3">
      <c r="A137" t="s">
        <v>10</v>
      </c>
      <c r="B137" t="s">
        <v>21</v>
      </c>
      <c r="C137" t="str">
        <f t="shared" si="7"/>
        <v>IPL-2010</v>
      </c>
      <c r="D137">
        <f t="shared" si="8"/>
        <v>2010</v>
      </c>
      <c r="E137" s="1">
        <v>40262</v>
      </c>
      <c r="F137" t="s">
        <v>10</v>
      </c>
      <c r="G137" t="s">
        <v>12</v>
      </c>
      <c r="H137" t="str">
        <f t="shared" si="6"/>
        <v>LOSS</v>
      </c>
      <c r="I137" t="s">
        <v>21</v>
      </c>
      <c r="J137" t="s">
        <v>119</v>
      </c>
      <c r="K137" t="s">
        <v>14</v>
      </c>
    </row>
    <row r="138" spans="1:11" x14ac:dyDescent="0.3">
      <c r="A138" t="s">
        <v>22</v>
      </c>
      <c r="B138" t="s">
        <v>28</v>
      </c>
      <c r="C138" t="str">
        <f t="shared" si="7"/>
        <v>IPL-2010</v>
      </c>
      <c r="D138">
        <f t="shared" si="8"/>
        <v>2010</v>
      </c>
      <c r="E138" s="1">
        <v>40263</v>
      </c>
      <c r="F138" t="s">
        <v>28</v>
      </c>
      <c r="G138" t="s">
        <v>18</v>
      </c>
      <c r="H138" t="str">
        <f t="shared" si="6"/>
        <v>LOSS</v>
      </c>
      <c r="I138" t="s">
        <v>22</v>
      </c>
      <c r="J138" t="s">
        <v>37</v>
      </c>
      <c r="K138" t="s">
        <v>111</v>
      </c>
    </row>
    <row r="139" spans="1:11" x14ac:dyDescent="0.3">
      <c r="A139" t="s">
        <v>16</v>
      </c>
      <c r="B139" t="s">
        <v>11</v>
      </c>
      <c r="C139" t="str">
        <f t="shared" si="7"/>
        <v>IPL-2010</v>
      </c>
      <c r="D139">
        <f t="shared" si="8"/>
        <v>2010</v>
      </c>
      <c r="E139" s="1">
        <v>40264</v>
      </c>
      <c r="F139" t="s">
        <v>11</v>
      </c>
      <c r="G139" t="s">
        <v>18</v>
      </c>
      <c r="H139" t="str">
        <f t="shared" si="6"/>
        <v>WIN</v>
      </c>
      <c r="I139" t="s">
        <v>11</v>
      </c>
      <c r="J139" t="s">
        <v>109</v>
      </c>
      <c r="K139" t="s">
        <v>20</v>
      </c>
    </row>
    <row r="140" spans="1:11" x14ac:dyDescent="0.3">
      <c r="A140" t="s">
        <v>22</v>
      </c>
      <c r="B140" t="s">
        <v>17</v>
      </c>
      <c r="C140" t="str">
        <f t="shared" si="7"/>
        <v>IPL-2010</v>
      </c>
      <c r="D140">
        <f t="shared" si="8"/>
        <v>2010</v>
      </c>
      <c r="E140" s="1">
        <v>40265</v>
      </c>
      <c r="F140" t="s">
        <v>22</v>
      </c>
      <c r="G140" t="s">
        <v>18</v>
      </c>
      <c r="H140" t="str">
        <f t="shared" si="6"/>
        <v>WIN</v>
      </c>
      <c r="I140" t="s">
        <v>22</v>
      </c>
      <c r="J140" t="s">
        <v>120</v>
      </c>
      <c r="K140" t="s">
        <v>111</v>
      </c>
    </row>
    <row r="141" spans="1:11" x14ac:dyDescent="0.3">
      <c r="A141" t="s">
        <v>28</v>
      </c>
      <c r="B141" t="s">
        <v>25</v>
      </c>
      <c r="C141" t="str">
        <f t="shared" si="7"/>
        <v>IPL-2010</v>
      </c>
      <c r="D141">
        <f t="shared" si="8"/>
        <v>2010</v>
      </c>
      <c r="E141" s="1">
        <v>40265</v>
      </c>
      <c r="F141" t="s">
        <v>28</v>
      </c>
      <c r="G141" t="s">
        <v>12</v>
      </c>
      <c r="H141" t="str">
        <f t="shared" si="6"/>
        <v>LOSS</v>
      </c>
      <c r="I141" t="s">
        <v>25</v>
      </c>
      <c r="J141" t="s">
        <v>99</v>
      </c>
      <c r="K141" t="s">
        <v>41</v>
      </c>
    </row>
    <row r="142" spans="1:11" x14ac:dyDescent="0.3">
      <c r="A142" t="s">
        <v>21</v>
      </c>
      <c r="B142" t="s">
        <v>11</v>
      </c>
      <c r="C142" t="str">
        <f t="shared" si="7"/>
        <v>IPL-2010</v>
      </c>
      <c r="D142">
        <f t="shared" si="8"/>
        <v>2010</v>
      </c>
      <c r="E142" s="1">
        <v>40266</v>
      </c>
      <c r="F142" t="s">
        <v>21</v>
      </c>
      <c r="G142" t="s">
        <v>18</v>
      </c>
      <c r="H142" t="str">
        <f t="shared" si="6"/>
        <v>WIN</v>
      </c>
      <c r="I142" t="s">
        <v>21</v>
      </c>
      <c r="J142" t="s">
        <v>121</v>
      </c>
      <c r="K142" t="s">
        <v>24</v>
      </c>
    </row>
    <row r="143" spans="1:11" x14ac:dyDescent="0.3">
      <c r="A143" t="s">
        <v>25</v>
      </c>
      <c r="B143" t="s">
        <v>16</v>
      </c>
      <c r="C143" t="str">
        <f t="shared" si="7"/>
        <v>IPL-2010</v>
      </c>
      <c r="D143">
        <f t="shared" si="8"/>
        <v>2010</v>
      </c>
      <c r="E143" s="1">
        <v>40267</v>
      </c>
      <c r="F143" t="s">
        <v>25</v>
      </c>
      <c r="G143" t="s">
        <v>12</v>
      </c>
      <c r="H143" t="str">
        <f t="shared" si="6"/>
        <v>WIN</v>
      </c>
      <c r="I143" t="s">
        <v>25</v>
      </c>
      <c r="J143" t="s">
        <v>122</v>
      </c>
      <c r="K143" t="s">
        <v>108</v>
      </c>
    </row>
    <row r="144" spans="1:11" x14ac:dyDescent="0.3">
      <c r="A144" t="s">
        <v>21</v>
      </c>
      <c r="B144" t="s">
        <v>22</v>
      </c>
      <c r="C144" t="str">
        <f t="shared" si="7"/>
        <v>IPL-2010</v>
      </c>
      <c r="D144">
        <f t="shared" si="8"/>
        <v>2010</v>
      </c>
      <c r="E144" s="1">
        <v>40268</v>
      </c>
      <c r="F144" t="s">
        <v>21</v>
      </c>
      <c r="G144" t="s">
        <v>18</v>
      </c>
      <c r="H144" t="str">
        <f t="shared" si="6"/>
        <v>WIN</v>
      </c>
      <c r="I144" t="s">
        <v>21</v>
      </c>
      <c r="J144" t="s">
        <v>65</v>
      </c>
      <c r="K144" t="s">
        <v>24</v>
      </c>
    </row>
    <row r="145" spans="1:11" x14ac:dyDescent="0.3">
      <c r="A145" t="s">
        <v>17</v>
      </c>
      <c r="B145" t="s">
        <v>10</v>
      </c>
      <c r="C145" t="str">
        <f t="shared" si="7"/>
        <v>IPL-2010</v>
      </c>
      <c r="D145">
        <f t="shared" si="8"/>
        <v>2010</v>
      </c>
      <c r="E145" s="1">
        <v>40268</v>
      </c>
      <c r="F145" t="s">
        <v>10</v>
      </c>
      <c r="G145" t="s">
        <v>18</v>
      </c>
      <c r="H145" t="str">
        <f t="shared" si="6"/>
        <v>LOSS</v>
      </c>
      <c r="I145" t="s">
        <v>17</v>
      </c>
      <c r="J145" t="s">
        <v>123</v>
      </c>
      <c r="K145" t="s">
        <v>36</v>
      </c>
    </row>
    <row r="146" spans="1:11" x14ac:dyDescent="0.3">
      <c r="A146" t="s">
        <v>11</v>
      </c>
      <c r="B146" t="s">
        <v>28</v>
      </c>
      <c r="C146" t="str">
        <f t="shared" si="7"/>
        <v>IPL-2010</v>
      </c>
      <c r="D146">
        <f t="shared" si="8"/>
        <v>2010</v>
      </c>
      <c r="E146" s="1">
        <v>40269</v>
      </c>
      <c r="F146" t="s">
        <v>11</v>
      </c>
      <c r="G146" t="s">
        <v>18</v>
      </c>
      <c r="H146" t="str">
        <f t="shared" si="6"/>
        <v>WIN</v>
      </c>
      <c r="I146" t="s">
        <v>11</v>
      </c>
      <c r="J146" t="s">
        <v>54</v>
      </c>
      <c r="K146" t="s">
        <v>30</v>
      </c>
    </row>
    <row r="147" spans="1:11" x14ac:dyDescent="0.3">
      <c r="A147" t="s">
        <v>16</v>
      </c>
      <c r="B147" t="s">
        <v>10</v>
      </c>
      <c r="C147" t="str">
        <f t="shared" si="7"/>
        <v>IPL-2010</v>
      </c>
      <c r="D147">
        <f t="shared" si="8"/>
        <v>2010</v>
      </c>
      <c r="E147" s="1">
        <v>40270</v>
      </c>
      <c r="F147" t="s">
        <v>16</v>
      </c>
      <c r="G147" t="s">
        <v>18</v>
      </c>
      <c r="H147" t="str">
        <f t="shared" si="6"/>
        <v>LOSS</v>
      </c>
      <c r="I147" t="s">
        <v>10</v>
      </c>
      <c r="J147" t="s">
        <v>124</v>
      </c>
      <c r="K147" t="s">
        <v>20</v>
      </c>
    </row>
    <row r="148" spans="1:11" x14ac:dyDescent="0.3">
      <c r="A148" t="s">
        <v>25</v>
      </c>
      <c r="B148" t="s">
        <v>28</v>
      </c>
      <c r="C148" t="str">
        <f t="shared" si="7"/>
        <v>IPL-2010</v>
      </c>
      <c r="D148">
        <f t="shared" si="8"/>
        <v>2010</v>
      </c>
      <c r="E148" s="1">
        <v>40271</v>
      </c>
      <c r="F148" t="s">
        <v>25</v>
      </c>
      <c r="G148" t="s">
        <v>18</v>
      </c>
      <c r="H148" t="str">
        <f t="shared" si="6"/>
        <v>WIN</v>
      </c>
      <c r="I148" t="s">
        <v>25</v>
      </c>
      <c r="J148" t="s">
        <v>125</v>
      </c>
      <c r="K148" t="s">
        <v>108</v>
      </c>
    </row>
    <row r="149" spans="1:11" x14ac:dyDescent="0.3">
      <c r="A149" t="s">
        <v>17</v>
      </c>
      <c r="B149" t="s">
        <v>22</v>
      </c>
      <c r="C149" t="str">
        <f t="shared" si="7"/>
        <v>IPL-2010</v>
      </c>
      <c r="D149">
        <f t="shared" si="8"/>
        <v>2010</v>
      </c>
      <c r="E149" s="1">
        <v>40271</v>
      </c>
      <c r="F149" t="s">
        <v>17</v>
      </c>
      <c r="G149" t="s">
        <v>18</v>
      </c>
      <c r="H149" t="str">
        <f t="shared" si="6"/>
        <v>WIN</v>
      </c>
      <c r="I149" t="s">
        <v>17</v>
      </c>
      <c r="J149" t="s">
        <v>123</v>
      </c>
      <c r="K149" t="s">
        <v>36</v>
      </c>
    </row>
    <row r="150" spans="1:11" x14ac:dyDescent="0.3">
      <c r="A150" t="s">
        <v>11</v>
      </c>
      <c r="B150" t="s">
        <v>16</v>
      </c>
      <c r="C150" t="str">
        <f t="shared" si="7"/>
        <v>IPL-2010</v>
      </c>
      <c r="D150">
        <f t="shared" si="8"/>
        <v>2010</v>
      </c>
      <c r="E150" s="1">
        <v>40272</v>
      </c>
      <c r="F150" t="s">
        <v>11</v>
      </c>
      <c r="G150" t="s">
        <v>18</v>
      </c>
      <c r="H150" t="str">
        <f t="shared" si="6"/>
        <v>LOSS</v>
      </c>
      <c r="I150" t="s">
        <v>16</v>
      </c>
      <c r="J150" t="s">
        <v>58</v>
      </c>
      <c r="K150" t="s">
        <v>30</v>
      </c>
    </row>
    <row r="151" spans="1:11" x14ac:dyDescent="0.3">
      <c r="A151" t="s">
        <v>21</v>
      </c>
      <c r="B151" t="s">
        <v>10</v>
      </c>
      <c r="C151" t="str">
        <f t="shared" si="7"/>
        <v>IPL-2010</v>
      </c>
      <c r="D151">
        <f t="shared" si="8"/>
        <v>2010</v>
      </c>
      <c r="E151" s="1">
        <v>40272</v>
      </c>
      <c r="F151" t="s">
        <v>21</v>
      </c>
      <c r="G151" t="s">
        <v>18</v>
      </c>
      <c r="H151" t="str">
        <f t="shared" si="6"/>
        <v>WIN</v>
      </c>
      <c r="I151" t="s">
        <v>21</v>
      </c>
      <c r="J151" t="s">
        <v>126</v>
      </c>
      <c r="K151" t="s">
        <v>24</v>
      </c>
    </row>
    <row r="152" spans="1:11" x14ac:dyDescent="0.3">
      <c r="A152" t="s">
        <v>28</v>
      </c>
      <c r="B152" t="s">
        <v>22</v>
      </c>
      <c r="C152" t="str">
        <f t="shared" si="7"/>
        <v>IPL-2010</v>
      </c>
      <c r="D152">
        <f t="shared" si="8"/>
        <v>2010</v>
      </c>
      <c r="E152" s="1">
        <v>40273</v>
      </c>
      <c r="F152" t="s">
        <v>22</v>
      </c>
      <c r="G152" t="s">
        <v>18</v>
      </c>
      <c r="H152" t="str">
        <f t="shared" si="6"/>
        <v>WIN</v>
      </c>
      <c r="I152" t="s">
        <v>22</v>
      </c>
      <c r="J152" t="s">
        <v>101</v>
      </c>
      <c r="K152" t="s">
        <v>127</v>
      </c>
    </row>
    <row r="153" spans="1:11" x14ac:dyDescent="0.3">
      <c r="A153" t="s">
        <v>17</v>
      </c>
      <c r="B153" t="s">
        <v>25</v>
      </c>
      <c r="C153" t="str">
        <f t="shared" si="7"/>
        <v>IPL-2010</v>
      </c>
      <c r="D153">
        <f t="shared" si="8"/>
        <v>2010</v>
      </c>
      <c r="E153" s="1">
        <v>40274</v>
      </c>
      <c r="F153" t="s">
        <v>17</v>
      </c>
      <c r="G153" t="s">
        <v>18</v>
      </c>
      <c r="H153" t="str">
        <f t="shared" si="6"/>
        <v>WIN</v>
      </c>
      <c r="I153" t="s">
        <v>17</v>
      </c>
      <c r="J153" t="s">
        <v>68</v>
      </c>
      <c r="K153" t="s">
        <v>36</v>
      </c>
    </row>
    <row r="154" spans="1:11" x14ac:dyDescent="0.3">
      <c r="A154" t="s">
        <v>22</v>
      </c>
      <c r="B154" t="s">
        <v>16</v>
      </c>
      <c r="C154" t="str">
        <f t="shared" si="7"/>
        <v>IPL-2010</v>
      </c>
      <c r="D154">
        <f t="shared" si="8"/>
        <v>2010</v>
      </c>
      <c r="E154" s="1">
        <v>40275</v>
      </c>
      <c r="F154" t="s">
        <v>16</v>
      </c>
      <c r="G154" t="s">
        <v>18</v>
      </c>
      <c r="H154" t="str">
        <f t="shared" si="6"/>
        <v>LOSS</v>
      </c>
      <c r="I154" t="s">
        <v>22</v>
      </c>
      <c r="J154" t="s">
        <v>128</v>
      </c>
      <c r="K154" t="s">
        <v>32</v>
      </c>
    </row>
    <row r="155" spans="1:11" x14ac:dyDescent="0.3">
      <c r="A155" t="s">
        <v>11</v>
      </c>
      <c r="B155" t="s">
        <v>21</v>
      </c>
      <c r="C155" t="str">
        <f t="shared" si="7"/>
        <v>IPL-2010</v>
      </c>
      <c r="D155">
        <f t="shared" si="8"/>
        <v>2010</v>
      </c>
      <c r="E155" s="1">
        <v>40275</v>
      </c>
      <c r="F155" t="s">
        <v>11</v>
      </c>
      <c r="G155" t="s">
        <v>18</v>
      </c>
      <c r="H155" t="str">
        <f t="shared" si="6"/>
        <v>WIN</v>
      </c>
      <c r="I155" t="s">
        <v>11</v>
      </c>
      <c r="J155" t="s">
        <v>54</v>
      </c>
      <c r="K155" t="s">
        <v>30</v>
      </c>
    </row>
    <row r="156" spans="1:11" x14ac:dyDescent="0.3">
      <c r="A156" t="s">
        <v>10</v>
      </c>
      <c r="B156" t="s">
        <v>28</v>
      </c>
      <c r="C156" t="str">
        <f t="shared" si="7"/>
        <v>IPL-2010</v>
      </c>
      <c r="D156">
        <f t="shared" si="8"/>
        <v>2010</v>
      </c>
      <c r="E156" s="1">
        <v>40276</v>
      </c>
      <c r="F156" t="s">
        <v>28</v>
      </c>
      <c r="G156" t="s">
        <v>12</v>
      </c>
      <c r="H156" t="str">
        <f t="shared" si="6"/>
        <v>WIN</v>
      </c>
      <c r="I156" t="s">
        <v>28</v>
      </c>
      <c r="J156" t="s">
        <v>129</v>
      </c>
      <c r="K156" t="s">
        <v>14</v>
      </c>
    </row>
    <row r="157" spans="1:11" x14ac:dyDescent="0.3">
      <c r="A157" t="s">
        <v>16</v>
      </c>
      <c r="B157" t="s">
        <v>25</v>
      </c>
      <c r="C157" t="str">
        <f t="shared" si="7"/>
        <v>IPL-2010</v>
      </c>
      <c r="D157">
        <f t="shared" si="8"/>
        <v>2010</v>
      </c>
      <c r="E157" s="1">
        <v>40277</v>
      </c>
      <c r="F157" t="s">
        <v>25</v>
      </c>
      <c r="G157" t="s">
        <v>18</v>
      </c>
      <c r="H157" t="str">
        <f t="shared" si="6"/>
        <v>LOSS</v>
      </c>
      <c r="I157" t="s">
        <v>16</v>
      </c>
      <c r="J157" t="s">
        <v>38</v>
      </c>
      <c r="K157" t="s">
        <v>20</v>
      </c>
    </row>
    <row r="158" spans="1:11" x14ac:dyDescent="0.3">
      <c r="A158" t="s">
        <v>28</v>
      </c>
      <c r="B158" t="s">
        <v>17</v>
      </c>
      <c r="C158" t="str">
        <f t="shared" si="7"/>
        <v>IPL-2010</v>
      </c>
      <c r="D158">
        <f t="shared" si="8"/>
        <v>2010</v>
      </c>
      <c r="E158" s="1">
        <v>40278</v>
      </c>
      <c r="F158" t="s">
        <v>17</v>
      </c>
      <c r="G158" t="s">
        <v>18</v>
      </c>
      <c r="H158" t="str">
        <f t="shared" si="6"/>
        <v>LOSS</v>
      </c>
      <c r="I158" t="s">
        <v>28</v>
      </c>
      <c r="J158" t="s">
        <v>130</v>
      </c>
      <c r="K158" t="s">
        <v>127</v>
      </c>
    </row>
    <row r="159" spans="1:11" x14ac:dyDescent="0.3">
      <c r="A159" t="s">
        <v>10</v>
      </c>
      <c r="B159" t="s">
        <v>11</v>
      </c>
      <c r="C159" t="str">
        <f t="shared" si="7"/>
        <v>IPL-2010</v>
      </c>
      <c r="D159">
        <f t="shared" si="8"/>
        <v>2010</v>
      </c>
      <c r="E159" s="1">
        <v>40278</v>
      </c>
      <c r="F159" t="s">
        <v>10</v>
      </c>
      <c r="G159" t="s">
        <v>12</v>
      </c>
      <c r="H159" t="str">
        <f t="shared" si="6"/>
        <v>WIN</v>
      </c>
      <c r="I159" t="s">
        <v>10</v>
      </c>
      <c r="J159" t="s">
        <v>67</v>
      </c>
      <c r="K159" t="s">
        <v>14</v>
      </c>
    </row>
    <row r="160" spans="1:11" x14ac:dyDescent="0.3">
      <c r="A160" t="s">
        <v>21</v>
      </c>
      <c r="B160" t="s">
        <v>16</v>
      </c>
      <c r="C160" t="str">
        <f t="shared" si="7"/>
        <v>IPL-2010</v>
      </c>
      <c r="D160">
        <f t="shared" si="8"/>
        <v>2010</v>
      </c>
      <c r="E160" s="1">
        <v>40279</v>
      </c>
      <c r="F160" t="s">
        <v>21</v>
      </c>
      <c r="G160" t="s">
        <v>18</v>
      </c>
      <c r="H160" t="str">
        <f t="shared" si="6"/>
        <v>LOSS</v>
      </c>
      <c r="I160" t="s">
        <v>16</v>
      </c>
      <c r="J160" t="s">
        <v>131</v>
      </c>
      <c r="K160" t="s">
        <v>24</v>
      </c>
    </row>
    <row r="161" spans="1:11" x14ac:dyDescent="0.3">
      <c r="A161" t="s">
        <v>22</v>
      </c>
      <c r="B161" t="s">
        <v>25</v>
      </c>
      <c r="C161" t="str">
        <f t="shared" si="7"/>
        <v>IPL-2010</v>
      </c>
      <c r="D161">
        <f t="shared" si="8"/>
        <v>2010</v>
      </c>
      <c r="E161" s="1">
        <v>40279</v>
      </c>
      <c r="F161" t="s">
        <v>22</v>
      </c>
      <c r="G161" t="s">
        <v>12</v>
      </c>
      <c r="H161" t="str">
        <f t="shared" si="6"/>
        <v>LOSS</v>
      </c>
      <c r="I161" t="s">
        <v>25</v>
      </c>
      <c r="J161" t="s">
        <v>72</v>
      </c>
      <c r="K161" t="s">
        <v>32</v>
      </c>
    </row>
    <row r="162" spans="1:11" x14ac:dyDescent="0.3">
      <c r="A162" t="s">
        <v>28</v>
      </c>
      <c r="B162" t="s">
        <v>10</v>
      </c>
      <c r="C162" t="str">
        <f t="shared" si="7"/>
        <v>IPL-2010</v>
      </c>
      <c r="D162">
        <f t="shared" si="8"/>
        <v>2010</v>
      </c>
      <c r="E162" s="1">
        <v>40280</v>
      </c>
      <c r="F162" t="s">
        <v>10</v>
      </c>
      <c r="G162" t="s">
        <v>12</v>
      </c>
      <c r="H162" t="str">
        <f t="shared" si="6"/>
        <v>LOSS</v>
      </c>
      <c r="I162" t="s">
        <v>28</v>
      </c>
      <c r="J162" t="s">
        <v>132</v>
      </c>
      <c r="K162" t="s">
        <v>127</v>
      </c>
    </row>
    <row r="163" spans="1:11" x14ac:dyDescent="0.3">
      <c r="A163" t="s">
        <v>17</v>
      </c>
      <c r="B163" t="s">
        <v>11</v>
      </c>
      <c r="C163" t="str">
        <f t="shared" si="7"/>
        <v>IPL-2010</v>
      </c>
      <c r="D163">
        <f t="shared" si="8"/>
        <v>2010</v>
      </c>
      <c r="E163" s="1">
        <v>40281</v>
      </c>
      <c r="F163" t="s">
        <v>11</v>
      </c>
      <c r="G163" t="s">
        <v>18</v>
      </c>
      <c r="H163" t="str">
        <f t="shared" si="6"/>
        <v>LOSS</v>
      </c>
      <c r="I163" t="s">
        <v>17</v>
      </c>
      <c r="J163" t="s">
        <v>133</v>
      </c>
      <c r="K163" t="s">
        <v>36</v>
      </c>
    </row>
    <row r="164" spans="1:11" x14ac:dyDescent="0.3">
      <c r="A164" t="s">
        <v>25</v>
      </c>
      <c r="B164" t="s">
        <v>21</v>
      </c>
      <c r="C164" t="str">
        <f t="shared" si="7"/>
        <v>IPL-2010</v>
      </c>
      <c r="D164">
        <f t="shared" si="8"/>
        <v>2010</v>
      </c>
      <c r="E164" s="1">
        <v>40281</v>
      </c>
      <c r="F164" t="s">
        <v>25</v>
      </c>
      <c r="G164" t="s">
        <v>18</v>
      </c>
      <c r="H164" t="str">
        <f t="shared" si="6"/>
        <v>WIN</v>
      </c>
      <c r="I164" t="s">
        <v>25</v>
      </c>
      <c r="J164" t="s">
        <v>134</v>
      </c>
      <c r="K164" t="s">
        <v>108</v>
      </c>
    </row>
    <row r="165" spans="1:11" x14ac:dyDescent="0.3">
      <c r="A165" t="s">
        <v>22</v>
      </c>
      <c r="B165" t="s">
        <v>10</v>
      </c>
      <c r="C165" t="str">
        <f t="shared" si="7"/>
        <v>IPL-2010</v>
      </c>
      <c r="D165">
        <f t="shared" si="8"/>
        <v>2010</v>
      </c>
      <c r="E165" s="1">
        <v>40282</v>
      </c>
      <c r="F165" t="s">
        <v>22</v>
      </c>
      <c r="G165" t="s">
        <v>18</v>
      </c>
      <c r="H165" t="str">
        <f t="shared" si="6"/>
        <v>LOSS</v>
      </c>
      <c r="I165" t="s">
        <v>10</v>
      </c>
      <c r="J165" t="s">
        <v>124</v>
      </c>
      <c r="K165" t="s">
        <v>32</v>
      </c>
    </row>
    <row r="166" spans="1:11" x14ac:dyDescent="0.3">
      <c r="A166" t="s">
        <v>17</v>
      </c>
      <c r="B166" t="s">
        <v>21</v>
      </c>
      <c r="C166" t="str">
        <f t="shared" si="7"/>
        <v>IPL-2010</v>
      </c>
      <c r="D166">
        <f t="shared" si="8"/>
        <v>2010</v>
      </c>
      <c r="E166" s="1">
        <v>40283</v>
      </c>
      <c r="F166" t="s">
        <v>17</v>
      </c>
      <c r="G166" t="s">
        <v>18</v>
      </c>
      <c r="H166" t="str">
        <f t="shared" si="6"/>
        <v>LOSS</v>
      </c>
      <c r="I166" t="s">
        <v>21</v>
      </c>
      <c r="J166" t="s">
        <v>92</v>
      </c>
      <c r="K166" t="s">
        <v>36</v>
      </c>
    </row>
    <row r="167" spans="1:11" x14ac:dyDescent="0.3">
      <c r="A167" t="s">
        <v>16</v>
      </c>
      <c r="B167" t="s">
        <v>28</v>
      </c>
      <c r="C167" t="str">
        <f t="shared" si="7"/>
        <v>IPL-2010</v>
      </c>
      <c r="D167">
        <f t="shared" si="8"/>
        <v>2010</v>
      </c>
      <c r="E167" s="1">
        <v>40284</v>
      </c>
      <c r="F167" t="s">
        <v>28</v>
      </c>
      <c r="G167" t="s">
        <v>12</v>
      </c>
      <c r="H167" t="str">
        <f t="shared" si="6"/>
        <v>WIN</v>
      </c>
      <c r="I167" t="s">
        <v>28</v>
      </c>
      <c r="J167" t="s">
        <v>93</v>
      </c>
      <c r="K167" t="s">
        <v>135</v>
      </c>
    </row>
    <row r="168" spans="1:11" x14ac:dyDescent="0.3">
      <c r="A168" t="s">
        <v>10</v>
      </c>
      <c r="B168" t="s">
        <v>25</v>
      </c>
      <c r="C168" t="str">
        <f t="shared" si="7"/>
        <v>IPL-2010</v>
      </c>
      <c r="D168">
        <f t="shared" si="8"/>
        <v>2010</v>
      </c>
      <c r="E168" s="1">
        <v>40285</v>
      </c>
      <c r="F168" t="s">
        <v>10</v>
      </c>
      <c r="G168" t="s">
        <v>12</v>
      </c>
      <c r="H168" t="str">
        <f t="shared" si="6"/>
        <v>LOSS</v>
      </c>
      <c r="I168" t="s">
        <v>25</v>
      </c>
      <c r="J168" t="s">
        <v>136</v>
      </c>
      <c r="K168" t="s">
        <v>14</v>
      </c>
    </row>
    <row r="169" spans="1:11" x14ac:dyDescent="0.3">
      <c r="A169" t="s">
        <v>11</v>
      </c>
      <c r="B169" t="s">
        <v>22</v>
      </c>
      <c r="C169" t="str">
        <f t="shared" si="7"/>
        <v>IPL-2010</v>
      </c>
      <c r="D169">
        <f t="shared" si="8"/>
        <v>2010</v>
      </c>
      <c r="E169" s="1">
        <v>40285</v>
      </c>
      <c r="F169" t="s">
        <v>22</v>
      </c>
      <c r="G169" t="s">
        <v>18</v>
      </c>
      <c r="H169" t="str">
        <f t="shared" si="6"/>
        <v>LOSS</v>
      </c>
      <c r="I169" t="s">
        <v>11</v>
      </c>
      <c r="J169" t="s">
        <v>137</v>
      </c>
      <c r="K169" t="s">
        <v>30</v>
      </c>
    </row>
    <row r="170" spans="1:11" x14ac:dyDescent="0.3">
      <c r="A170" t="s">
        <v>21</v>
      </c>
      <c r="B170" t="s">
        <v>28</v>
      </c>
      <c r="C170" t="str">
        <f t="shared" si="7"/>
        <v>IPL-2010</v>
      </c>
      <c r="D170">
        <f t="shared" si="8"/>
        <v>2010</v>
      </c>
      <c r="E170" s="1">
        <v>40286</v>
      </c>
      <c r="F170" t="s">
        <v>28</v>
      </c>
      <c r="G170" t="s">
        <v>18</v>
      </c>
      <c r="H170" t="str">
        <f t="shared" si="6"/>
        <v>WIN</v>
      </c>
      <c r="I170" t="s">
        <v>28</v>
      </c>
      <c r="J170" t="s">
        <v>112</v>
      </c>
      <c r="K170" t="s">
        <v>24</v>
      </c>
    </row>
    <row r="171" spans="1:11" x14ac:dyDescent="0.3">
      <c r="A171" t="s">
        <v>16</v>
      </c>
      <c r="B171" t="s">
        <v>17</v>
      </c>
      <c r="C171" t="str">
        <f t="shared" si="7"/>
        <v>IPL-2010</v>
      </c>
      <c r="D171">
        <f t="shared" si="8"/>
        <v>2010</v>
      </c>
      <c r="E171" s="1">
        <v>40286</v>
      </c>
      <c r="F171" t="s">
        <v>17</v>
      </c>
      <c r="G171" t="s">
        <v>12</v>
      </c>
      <c r="H171" t="str">
        <f t="shared" si="6"/>
        <v>WIN</v>
      </c>
      <c r="I171" t="s">
        <v>17</v>
      </c>
      <c r="J171" t="s">
        <v>43</v>
      </c>
      <c r="K171" t="s">
        <v>135</v>
      </c>
    </row>
    <row r="172" spans="1:11" x14ac:dyDescent="0.3">
      <c r="A172" t="s">
        <v>11</v>
      </c>
      <c r="B172" t="s">
        <v>25</v>
      </c>
      <c r="C172" t="str">
        <f t="shared" si="7"/>
        <v>IPL-2010</v>
      </c>
      <c r="D172">
        <f t="shared" si="8"/>
        <v>2010</v>
      </c>
      <c r="E172" s="1">
        <v>40287</v>
      </c>
      <c r="F172" t="s">
        <v>25</v>
      </c>
      <c r="G172" t="s">
        <v>18</v>
      </c>
      <c r="H172" t="str">
        <f t="shared" si="6"/>
        <v>LOSS</v>
      </c>
      <c r="I172" t="s">
        <v>11</v>
      </c>
      <c r="J172" t="s">
        <v>138</v>
      </c>
      <c r="K172" t="s">
        <v>30</v>
      </c>
    </row>
    <row r="173" spans="1:11" x14ac:dyDescent="0.3">
      <c r="A173" t="s">
        <v>10</v>
      </c>
      <c r="B173" t="s">
        <v>25</v>
      </c>
      <c r="C173" t="str">
        <f t="shared" si="7"/>
        <v>IPL-2010</v>
      </c>
      <c r="D173">
        <f t="shared" si="8"/>
        <v>2010</v>
      </c>
      <c r="E173" s="1">
        <v>40289</v>
      </c>
      <c r="F173" t="s">
        <v>25</v>
      </c>
      <c r="G173" t="s">
        <v>18</v>
      </c>
      <c r="H173" t="str">
        <f t="shared" si="6"/>
        <v>WIN</v>
      </c>
      <c r="I173" t="s">
        <v>25</v>
      </c>
      <c r="J173" t="s">
        <v>134</v>
      </c>
      <c r="K173" t="s">
        <v>41</v>
      </c>
    </row>
    <row r="174" spans="1:11" x14ac:dyDescent="0.3">
      <c r="A174" t="s">
        <v>17</v>
      </c>
      <c r="B174" t="s">
        <v>28</v>
      </c>
      <c r="C174" t="str">
        <f t="shared" si="7"/>
        <v>IPL-2010</v>
      </c>
      <c r="D174">
        <f t="shared" si="8"/>
        <v>2010</v>
      </c>
      <c r="E174" s="1">
        <v>40290</v>
      </c>
      <c r="F174" t="s">
        <v>17</v>
      </c>
      <c r="G174" t="s">
        <v>18</v>
      </c>
      <c r="H174" t="str">
        <f t="shared" si="6"/>
        <v>WIN</v>
      </c>
      <c r="I174" t="s">
        <v>17</v>
      </c>
      <c r="J174" t="s">
        <v>139</v>
      </c>
      <c r="K174" t="s">
        <v>41</v>
      </c>
    </row>
    <row r="175" spans="1:11" x14ac:dyDescent="0.3">
      <c r="A175" t="s">
        <v>10</v>
      </c>
      <c r="B175" t="s">
        <v>28</v>
      </c>
      <c r="C175" t="str">
        <f t="shared" si="7"/>
        <v>IPL-2010</v>
      </c>
      <c r="D175">
        <f t="shared" si="8"/>
        <v>2010</v>
      </c>
      <c r="E175" s="1">
        <v>40292</v>
      </c>
      <c r="F175" t="s">
        <v>28</v>
      </c>
      <c r="G175" t="s">
        <v>18</v>
      </c>
      <c r="H175" t="str">
        <f t="shared" si="6"/>
        <v>LOSS</v>
      </c>
      <c r="I175" t="s">
        <v>10</v>
      </c>
      <c r="J175" t="s">
        <v>63</v>
      </c>
      <c r="K175" t="s">
        <v>41</v>
      </c>
    </row>
    <row r="176" spans="1:11" x14ac:dyDescent="0.3">
      <c r="A176" t="s">
        <v>17</v>
      </c>
      <c r="B176" t="s">
        <v>25</v>
      </c>
      <c r="C176" t="str">
        <f t="shared" si="7"/>
        <v>IPL-2010</v>
      </c>
      <c r="D176">
        <f t="shared" si="8"/>
        <v>2010</v>
      </c>
      <c r="E176" s="1">
        <v>40293</v>
      </c>
      <c r="F176" t="s">
        <v>17</v>
      </c>
      <c r="G176" t="s">
        <v>18</v>
      </c>
      <c r="H176" t="str">
        <f t="shared" si="6"/>
        <v>WIN</v>
      </c>
      <c r="I176" t="s">
        <v>17</v>
      </c>
      <c r="J176" t="s">
        <v>68</v>
      </c>
      <c r="K176" t="s">
        <v>41</v>
      </c>
    </row>
    <row r="177" spans="1:11" x14ac:dyDescent="0.3">
      <c r="A177" t="s">
        <v>17</v>
      </c>
      <c r="B177" t="s">
        <v>11</v>
      </c>
      <c r="C177" t="str">
        <f t="shared" si="7"/>
        <v>IPL-2011</v>
      </c>
      <c r="D177">
        <f t="shared" si="8"/>
        <v>2011</v>
      </c>
      <c r="E177" s="1">
        <v>40641</v>
      </c>
      <c r="F177" t="s">
        <v>17</v>
      </c>
      <c r="G177" t="s">
        <v>18</v>
      </c>
      <c r="H177" t="str">
        <f t="shared" si="6"/>
        <v>WIN</v>
      </c>
      <c r="I177" t="s">
        <v>17</v>
      </c>
      <c r="J177" t="s">
        <v>140</v>
      </c>
      <c r="K177" t="s">
        <v>36</v>
      </c>
    </row>
    <row r="178" spans="1:11" x14ac:dyDescent="0.3">
      <c r="A178" t="s">
        <v>28</v>
      </c>
      <c r="B178" t="s">
        <v>22</v>
      </c>
      <c r="C178" t="str">
        <f t="shared" si="7"/>
        <v>IPL-2011</v>
      </c>
      <c r="D178">
        <f t="shared" si="8"/>
        <v>2011</v>
      </c>
      <c r="E178" s="1">
        <v>40642</v>
      </c>
      <c r="F178" t="s">
        <v>22</v>
      </c>
      <c r="G178" t="s">
        <v>12</v>
      </c>
      <c r="H178" t="str">
        <f t="shared" si="6"/>
        <v>WIN</v>
      </c>
      <c r="I178" t="s">
        <v>22</v>
      </c>
      <c r="J178" t="s">
        <v>141</v>
      </c>
      <c r="K178" t="s">
        <v>34</v>
      </c>
    </row>
    <row r="179" spans="1:11" x14ac:dyDescent="0.3">
      <c r="A179" t="s">
        <v>142</v>
      </c>
      <c r="B179" t="s">
        <v>10</v>
      </c>
      <c r="C179" t="str">
        <f t="shared" si="7"/>
        <v>IPL-2011</v>
      </c>
      <c r="D179">
        <f t="shared" si="8"/>
        <v>2011</v>
      </c>
      <c r="E179" s="1">
        <v>40642</v>
      </c>
      <c r="F179" t="s">
        <v>142</v>
      </c>
      <c r="G179" t="s">
        <v>18</v>
      </c>
      <c r="H179" t="str">
        <f t="shared" si="6"/>
        <v>LOSS</v>
      </c>
      <c r="I179" t="s">
        <v>10</v>
      </c>
      <c r="J179" t="s">
        <v>79</v>
      </c>
      <c r="K179" t="s">
        <v>143</v>
      </c>
    </row>
    <row r="180" spans="1:11" x14ac:dyDescent="0.3">
      <c r="A180" t="s">
        <v>21</v>
      </c>
      <c r="B180" t="s">
        <v>25</v>
      </c>
      <c r="C180" t="str">
        <f t="shared" si="7"/>
        <v>IPL-2011</v>
      </c>
      <c r="D180">
        <f t="shared" si="8"/>
        <v>2011</v>
      </c>
      <c r="E180" s="1">
        <v>40643</v>
      </c>
      <c r="F180" t="s">
        <v>21</v>
      </c>
      <c r="G180" t="s">
        <v>18</v>
      </c>
      <c r="H180" t="str">
        <f t="shared" si="6"/>
        <v>LOSS</v>
      </c>
      <c r="I180" t="s">
        <v>25</v>
      </c>
      <c r="J180" t="s">
        <v>122</v>
      </c>
      <c r="K180" t="s">
        <v>24</v>
      </c>
    </row>
    <row r="181" spans="1:11" x14ac:dyDescent="0.3">
      <c r="A181" t="s">
        <v>144</v>
      </c>
      <c r="B181" t="s">
        <v>16</v>
      </c>
      <c r="C181" t="str">
        <f t="shared" si="7"/>
        <v>IPL-2011</v>
      </c>
      <c r="D181">
        <f t="shared" si="8"/>
        <v>2011</v>
      </c>
      <c r="E181" s="1">
        <v>40643</v>
      </c>
      <c r="F181" t="s">
        <v>16</v>
      </c>
      <c r="G181" t="s">
        <v>18</v>
      </c>
      <c r="H181" t="str">
        <f t="shared" si="6"/>
        <v>LOSS</v>
      </c>
      <c r="I181" t="s">
        <v>144</v>
      </c>
      <c r="J181" t="s">
        <v>145</v>
      </c>
      <c r="K181" t="s">
        <v>41</v>
      </c>
    </row>
    <row r="182" spans="1:11" x14ac:dyDescent="0.3">
      <c r="A182" t="s">
        <v>11</v>
      </c>
      <c r="B182" t="s">
        <v>28</v>
      </c>
      <c r="C182" t="str">
        <f t="shared" si="7"/>
        <v>IPL-2011</v>
      </c>
      <c r="D182">
        <f t="shared" si="8"/>
        <v>2011</v>
      </c>
      <c r="E182" s="1">
        <v>40644</v>
      </c>
      <c r="F182" t="s">
        <v>11</v>
      </c>
      <c r="G182" t="s">
        <v>18</v>
      </c>
      <c r="H182" t="str">
        <f t="shared" si="6"/>
        <v>WIN</v>
      </c>
      <c r="I182" t="s">
        <v>11</v>
      </c>
      <c r="J182" t="s">
        <v>91</v>
      </c>
      <c r="K182" t="s">
        <v>30</v>
      </c>
    </row>
    <row r="183" spans="1:11" x14ac:dyDescent="0.3">
      <c r="A183" t="s">
        <v>10</v>
      </c>
      <c r="B183" t="s">
        <v>25</v>
      </c>
      <c r="C183" t="str">
        <f t="shared" si="7"/>
        <v>IPL-2011</v>
      </c>
      <c r="D183">
        <f t="shared" si="8"/>
        <v>2011</v>
      </c>
      <c r="E183" s="1">
        <v>40645</v>
      </c>
      <c r="F183" t="s">
        <v>25</v>
      </c>
      <c r="G183" t="s">
        <v>12</v>
      </c>
      <c r="H183" t="str">
        <f t="shared" si="6"/>
        <v>WIN</v>
      </c>
      <c r="I183" t="s">
        <v>25</v>
      </c>
      <c r="J183" t="s">
        <v>72</v>
      </c>
      <c r="K183" t="s">
        <v>14</v>
      </c>
    </row>
    <row r="184" spans="1:11" x14ac:dyDescent="0.3">
      <c r="A184" t="s">
        <v>22</v>
      </c>
      <c r="B184" t="s">
        <v>21</v>
      </c>
      <c r="C184" t="str">
        <f t="shared" si="7"/>
        <v>IPL-2011</v>
      </c>
      <c r="D184">
        <f t="shared" si="8"/>
        <v>2011</v>
      </c>
      <c r="E184" s="1">
        <v>40645</v>
      </c>
      <c r="F184" t="s">
        <v>21</v>
      </c>
      <c r="G184" t="s">
        <v>18</v>
      </c>
      <c r="H184" t="str">
        <f t="shared" si="6"/>
        <v>LOSS</v>
      </c>
      <c r="I184" t="s">
        <v>22</v>
      </c>
      <c r="J184" t="s">
        <v>101</v>
      </c>
      <c r="K184" t="s">
        <v>32</v>
      </c>
    </row>
    <row r="185" spans="1:11" x14ac:dyDescent="0.3">
      <c r="A185" t="s">
        <v>144</v>
      </c>
      <c r="B185" t="s">
        <v>142</v>
      </c>
      <c r="C185" t="str">
        <f t="shared" si="7"/>
        <v>IPL-2011</v>
      </c>
      <c r="D185">
        <f t="shared" si="8"/>
        <v>2011</v>
      </c>
      <c r="E185" s="1">
        <v>40646</v>
      </c>
      <c r="F185" t="s">
        <v>142</v>
      </c>
      <c r="G185" t="s">
        <v>18</v>
      </c>
      <c r="H185" t="str">
        <f t="shared" si="6"/>
        <v>LOSS</v>
      </c>
      <c r="I185" t="s">
        <v>144</v>
      </c>
      <c r="J185" t="s">
        <v>146</v>
      </c>
      <c r="K185" t="s">
        <v>41</v>
      </c>
    </row>
    <row r="186" spans="1:11" x14ac:dyDescent="0.3">
      <c r="A186" t="s">
        <v>16</v>
      </c>
      <c r="B186" t="s">
        <v>17</v>
      </c>
      <c r="C186" t="str">
        <f t="shared" si="7"/>
        <v>IPL-2011</v>
      </c>
      <c r="D186">
        <f t="shared" si="8"/>
        <v>2011</v>
      </c>
      <c r="E186" s="1">
        <v>40646</v>
      </c>
      <c r="F186" t="s">
        <v>16</v>
      </c>
      <c r="G186" t="s">
        <v>12</v>
      </c>
      <c r="H186" t="str">
        <f t="shared" si="6"/>
        <v>WIN</v>
      </c>
      <c r="I186" t="s">
        <v>16</v>
      </c>
      <c r="J186" t="s">
        <v>147</v>
      </c>
      <c r="K186" t="s">
        <v>20</v>
      </c>
    </row>
    <row r="187" spans="1:11" x14ac:dyDescent="0.3">
      <c r="A187" t="s">
        <v>28</v>
      </c>
      <c r="B187" t="s">
        <v>10</v>
      </c>
      <c r="C187" t="str">
        <f t="shared" si="7"/>
        <v>IPL-2011</v>
      </c>
      <c r="D187">
        <f t="shared" si="8"/>
        <v>2011</v>
      </c>
      <c r="E187" s="1">
        <v>40647</v>
      </c>
      <c r="F187" t="s">
        <v>10</v>
      </c>
      <c r="G187" t="s">
        <v>12</v>
      </c>
      <c r="H187" t="str">
        <f t="shared" si="6"/>
        <v>LOSS</v>
      </c>
      <c r="I187" t="s">
        <v>28</v>
      </c>
      <c r="J187" t="s">
        <v>148</v>
      </c>
      <c r="K187" t="s">
        <v>34</v>
      </c>
    </row>
    <row r="188" spans="1:11" x14ac:dyDescent="0.3">
      <c r="A188" t="s">
        <v>25</v>
      </c>
      <c r="B188" t="s">
        <v>142</v>
      </c>
      <c r="C188" t="str">
        <f t="shared" si="7"/>
        <v>IPL-2011</v>
      </c>
      <c r="D188">
        <f t="shared" si="8"/>
        <v>2011</v>
      </c>
      <c r="E188" s="1">
        <v>40648</v>
      </c>
      <c r="F188" t="s">
        <v>142</v>
      </c>
      <c r="G188" t="s">
        <v>12</v>
      </c>
      <c r="H188" t="str">
        <f t="shared" si="6"/>
        <v>WIN</v>
      </c>
      <c r="I188" t="s">
        <v>142</v>
      </c>
      <c r="J188" t="s">
        <v>13</v>
      </c>
      <c r="K188" t="s">
        <v>27</v>
      </c>
    </row>
    <row r="189" spans="1:11" x14ac:dyDescent="0.3">
      <c r="A189" t="s">
        <v>22</v>
      </c>
      <c r="B189" t="s">
        <v>11</v>
      </c>
      <c r="C189" t="str">
        <f t="shared" si="7"/>
        <v>IPL-2011</v>
      </c>
      <c r="D189">
        <f t="shared" si="8"/>
        <v>2011</v>
      </c>
      <c r="E189" s="1">
        <v>40648</v>
      </c>
      <c r="F189" t="s">
        <v>11</v>
      </c>
      <c r="G189" t="s">
        <v>12</v>
      </c>
      <c r="H189" t="str">
        <f t="shared" si="6"/>
        <v>WIN</v>
      </c>
      <c r="I189" t="s">
        <v>11</v>
      </c>
      <c r="J189" t="s">
        <v>92</v>
      </c>
      <c r="K189" t="s">
        <v>32</v>
      </c>
    </row>
    <row r="190" spans="1:11" x14ac:dyDescent="0.3">
      <c r="A190" t="s">
        <v>17</v>
      </c>
      <c r="B190" t="s">
        <v>10</v>
      </c>
      <c r="C190" t="str">
        <f t="shared" si="7"/>
        <v>IPL-2011</v>
      </c>
      <c r="D190">
        <f t="shared" si="8"/>
        <v>2011</v>
      </c>
      <c r="E190" s="1">
        <v>40649</v>
      </c>
      <c r="F190" t="s">
        <v>17</v>
      </c>
      <c r="G190" t="s">
        <v>18</v>
      </c>
      <c r="H190" t="str">
        <f t="shared" si="6"/>
        <v>WIN</v>
      </c>
      <c r="I190" t="s">
        <v>17</v>
      </c>
      <c r="J190" t="s">
        <v>19</v>
      </c>
      <c r="K190" t="s">
        <v>36</v>
      </c>
    </row>
    <row r="191" spans="1:11" x14ac:dyDescent="0.3">
      <c r="A191" t="s">
        <v>28</v>
      </c>
      <c r="B191" t="s">
        <v>16</v>
      </c>
      <c r="C191" t="str">
        <f t="shared" si="7"/>
        <v>IPL-2011</v>
      </c>
      <c r="D191">
        <f t="shared" si="8"/>
        <v>2011</v>
      </c>
      <c r="E191" s="1">
        <v>40649</v>
      </c>
      <c r="F191" t="s">
        <v>16</v>
      </c>
      <c r="G191" t="s">
        <v>12</v>
      </c>
      <c r="H191" t="str">
        <f t="shared" si="6"/>
        <v>WIN</v>
      </c>
      <c r="I191" t="s">
        <v>16</v>
      </c>
      <c r="J191" t="s">
        <v>147</v>
      </c>
      <c r="K191" t="s">
        <v>34</v>
      </c>
    </row>
    <row r="192" spans="1:11" x14ac:dyDescent="0.3">
      <c r="A192" t="s">
        <v>144</v>
      </c>
      <c r="B192" t="s">
        <v>21</v>
      </c>
      <c r="C192" t="str">
        <f t="shared" si="7"/>
        <v>IPL-2011</v>
      </c>
      <c r="D192">
        <f t="shared" si="8"/>
        <v>2011</v>
      </c>
      <c r="E192" s="1">
        <v>40650</v>
      </c>
      <c r="F192" t="s">
        <v>21</v>
      </c>
      <c r="G192" t="s">
        <v>12</v>
      </c>
      <c r="H192" t="str">
        <f t="shared" si="6"/>
        <v>WIN</v>
      </c>
      <c r="I192" t="s">
        <v>21</v>
      </c>
      <c r="J192" t="s">
        <v>88</v>
      </c>
      <c r="K192" t="s">
        <v>41</v>
      </c>
    </row>
    <row r="193" spans="1:11" x14ac:dyDescent="0.3">
      <c r="A193" t="s">
        <v>11</v>
      </c>
      <c r="B193" t="s">
        <v>22</v>
      </c>
      <c r="C193" t="str">
        <f t="shared" si="7"/>
        <v>IPL-2011</v>
      </c>
      <c r="D193">
        <f t="shared" si="8"/>
        <v>2011</v>
      </c>
      <c r="E193" s="1">
        <v>40650</v>
      </c>
      <c r="F193" t="s">
        <v>11</v>
      </c>
      <c r="G193" t="s">
        <v>12</v>
      </c>
      <c r="H193" t="str">
        <f t="shared" si="6"/>
        <v>WIN</v>
      </c>
      <c r="I193" t="s">
        <v>11</v>
      </c>
      <c r="J193" t="s">
        <v>55</v>
      </c>
      <c r="K193" t="s">
        <v>30</v>
      </c>
    </row>
    <row r="194" spans="1:11" x14ac:dyDescent="0.3">
      <c r="A194" t="s">
        <v>142</v>
      </c>
      <c r="B194" t="s">
        <v>17</v>
      </c>
      <c r="C194" t="str">
        <f t="shared" si="7"/>
        <v>IPL-2011</v>
      </c>
      <c r="D194">
        <f t="shared" si="8"/>
        <v>2011</v>
      </c>
      <c r="E194" s="1">
        <v>40651</v>
      </c>
      <c r="F194" t="s">
        <v>142</v>
      </c>
      <c r="G194" t="s">
        <v>12</v>
      </c>
      <c r="H194" t="str">
        <f t="shared" ref="H194:H257" si="9">IF(F194=I194,"WIN","LOSS")</f>
        <v>WIN</v>
      </c>
      <c r="I194" t="s">
        <v>142</v>
      </c>
      <c r="J194" t="s">
        <v>13</v>
      </c>
      <c r="K194" t="s">
        <v>143</v>
      </c>
    </row>
    <row r="195" spans="1:11" x14ac:dyDescent="0.3">
      <c r="A195" t="s">
        <v>21</v>
      </c>
      <c r="B195" t="s">
        <v>28</v>
      </c>
      <c r="C195" t="str">
        <f t="shared" ref="C195:C258" si="10">_xlfn.CONCAT("IPL-",D195)</f>
        <v>IPL-2011</v>
      </c>
      <c r="D195">
        <f t="shared" ref="D195:D258" si="11">YEAR(E195)</f>
        <v>2011</v>
      </c>
      <c r="E195" s="1">
        <v>40652</v>
      </c>
      <c r="F195" t="s">
        <v>28</v>
      </c>
      <c r="G195" t="s">
        <v>18</v>
      </c>
      <c r="H195" t="str">
        <f t="shared" si="9"/>
        <v>WIN</v>
      </c>
      <c r="I195" t="s">
        <v>28</v>
      </c>
      <c r="J195" t="s">
        <v>149</v>
      </c>
      <c r="K195" t="s">
        <v>24</v>
      </c>
    </row>
    <row r="196" spans="1:11" x14ac:dyDescent="0.3">
      <c r="A196" t="s">
        <v>11</v>
      </c>
      <c r="B196" t="s">
        <v>142</v>
      </c>
      <c r="C196" t="str">
        <f t="shared" si="10"/>
        <v>IPL-2011</v>
      </c>
      <c r="D196">
        <f t="shared" si="11"/>
        <v>2011</v>
      </c>
      <c r="E196" s="1">
        <v>40653</v>
      </c>
      <c r="F196" t="s">
        <v>11</v>
      </c>
      <c r="G196" t="s">
        <v>12</v>
      </c>
      <c r="H196" t="str">
        <f t="shared" si="9"/>
        <v>LOSS</v>
      </c>
      <c r="I196" t="s">
        <v>142</v>
      </c>
      <c r="J196" t="s">
        <v>58</v>
      </c>
      <c r="K196" t="s">
        <v>30</v>
      </c>
    </row>
    <row r="197" spans="1:11" x14ac:dyDescent="0.3">
      <c r="A197" t="s">
        <v>25</v>
      </c>
      <c r="B197" t="s">
        <v>144</v>
      </c>
      <c r="C197" t="str">
        <f t="shared" si="10"/>
        <v>IPL-2011</v>
      </c>
      <c r="D197">
        <f t="shared" si="11"/>
        <v>2011</v>
      </c>
      <c r="E197" s="1">
        <v>40653</v>
      </c>
      <c r="F197" t="s">
        <v>144</v>
      </c>
      <c r="G197" t="s">
        <v>18</v>
      </c>
      <c r="H197" t="str">
        <f t="shared" si="9"/>
        <v>LOSS</v>
      </c>
      <c r="I197" t="s">
        <v>25</v>
      </c>
      <c r="J197" t="s">
        <v>150</v>
      </c>
      <c r="K197" t="s">
        <v>27</v>
      </c>
    </row>
    <row r="198" spans="1:11" x14ac:dyDescent="0.3">
      <c r="A198" t="s">
        <v>16</v>
      </c>
      <c r="B198" t="s">
        <v>22</v>
      </c>
      <c r="C198" t="str">
        <f t="shared" si="10"/>
        <v>IPL-2011</v>
      </c>
      <c r="D198">
        <f t="shared" si="11"/>
        <v>2011</v>
      </c>
      <c r="E198" s="1">
        <v>40654</v>
      </c>
      <c r="F198" t="s">
        <v>22</v>
      </c>
      <c r="G198" t="s">
        <v>12</v>
      </c>
      <c r="H198" t="str">
        <f t="shared" si="9"/>
        <v>LOSS</v>
      </c>
      <c r="I198" t="s">
        <v>16</v>
      </c>
      <c r="J198" t="s">
        <v>47</v>
      </c>
      <c r="K198" t="s">
        <v>20</v>
      </c>
    </row>
    <row r="199" spans="1:11" x14ac:dyDescent="0.3">
      <c r="A199" t="s">
        <v>25</v>
      </c>
      <c r="B199" t="s">
        <v>17</v>
      </c>
      <c r="C199" t="str">
        <f t="shared" si="10"/>
        <v>IPL-2011</v>
      </c>
      <c r="D199">
        <f t="shared" si="11"/>
        <v>2011</v>
      </c>
      <c r="E199" s="1">
        <v>40655</v>
      </c>
      <c r="F199" t="s">
        <v>17</v>
      </c>
      <c r="G199" t="s">
        <v>12</v>
      </c>
      <c r="H199" t="str">
        <f t="shared" si="9"/>
        <v>LOSS</v>
      </c>
      <c r="I199" t="s">
        <v>25</v>
      </c>
      <c r="J199" t="s">
        <v>99</v>
      </c>
      <c r="K199" t="s">
        <v>27</v>
      </c>
    </row>
    <row r="200" spans="1:11" x14ac:dyDescent="0.3">
      <c r="A200" t="s">
        <v>11</v>
      </c>
      <c r="B200" t="s">
        <v>10</v>
      </c>
      <c r="C200" t="str">
        <f t="shared" si="10"/>
        <v>IPL-2011</v>
      </c>
      <c r="D200">
        <f t="shared" si="11"/>
        <v>2011</v>
      </c>
      <c r="E200" s="1">
        <v>40655</v>
      </c>
      <c r="F200" t="s">
        <v>10</v>
      </c>
      <c r="G200" t="s">
        <v>12</v>
      </c>
      <c r="H200" t="str">
        <f t="shared" si="9"/>
        <v>WIN</v>
      </c>
      <c r="I200" t="s">
        <v>10</v>
      </c>
      <c r="J200" t="s">
        <v>77</v>
      </c>
      <c r="K200" t="s">
        <v>30</v>
      </c>
    </row>
    <row r="201" spans="1:11" x14ac:dyDescent="0.3">
      <c r="A201" t="s">
        <v>21</v>
      </c>
      <c r="B201" t="s">
        <v>16</v>
      </c>
      <c r="C201" t="str">
        <f t="shared" si="10"/>
        <v>IPL-2011</v>
      </c>
      <c r="D201">
        <f t="shared" si="11"/>
        <v>2011</v>
      </c>
      <c r="E201" s="1">
        <v>40656</v>
      </c>
      <c r="F201" t="s">
        <v>16</v>
      </c>
      <c r="G201" t="s">
        <v>12</v>
      </c>
      <c r="H201" t="str">
        <f t="shared" si="9"/>
        <v>LOSS</v>
      </c>
      <c r="I201" t="s">
        <v>21</v>
      </c>
      <c r="J201" t="s">
        <v>121</v>
      </c>
      <c r="K201" t="s">
        <v>24</v>
      </c>
    </row>
    <row r="202" spans="1:11" x14ac:dyDescent="0.3">
      <c r="A202" t="s">
        <v>28</v>
      </c>
      <c r="B202" t="s">
        <v>25</v>
      </c>
      <c r="C202" t="str">
        <f t="shared" si="10"/>
        <v>IPL-2011</v>
      </c>
      <c r="D202">
        <f t="shared" si="11"/>
        <v>2011</v>
      </c>
      <c r="E202" s="1">
        <v>40657</v>
      </c>
      <c r="F202" t="s">
        <v>28</v>
      </c>
      <c r="G202" t="s">
        <v>12</v>
      </c>
      <c r="H202" t="str">
        <f t="shared" si="9"/>
        <v>LOSS</v>
      </c>
      <c r="I202" t="s">
        <v>25</v>
      </c>
      <c r="J202" t="s">
        <v>122</v>
      </c>
      <c r="K202" t="s">
        <v>34</v>
      </c>
    </row>
    <row r="203" spans="1:11" x14ac:dyDescent="0.3">
      <c r="A203" t="s">
        <v>22</v>
      </c>
      <c r="B203" t="s">
        <v>142</v>
      </c>
      <c r="C203" t="str">
        <f t="shared" si="10"/>
        <v>IPL-2011</v>
      </c>
      <c r="D203">
        <f t="shared" si="11"/>
        <v>2011</v>
      </c>
      <c r="E203" s="1">
        <v>40657</v>
      </c>
      <c r="F203" t="s">
        <v>22</v>
      </c>
      <c r="G203" t="s">
        <v>12</v>
      </c>
      <c r="H203" t="str">
        <f t="shared" si="9"/>
        <v>WIN</v>
      </c>
      <c r="I203" t="s">
        <v>22</v>
      </c>
      <c r="J203" t="s">
        <v>101</v>
      </c>
      <c r="K203" t="s">
        <v>32</v>
      </c>
    </row>
    <row r="204" spans="1:11" x14ac:dyDescent="0.3">
      <c r="A204" t="s">
        <v>17</v>
      </c>
      <c r="B204" t="s">
        <v>144</v>
      </c>
      <c r="C204" t="str">
        <f t="shared" si="10"/>
        <v>IPL-2011</v>
      </c>
      <c r="D204">
        <f t="shared" si="11"/>
        <v>2011</v>
      </c>
      <c r="E204" s="1">
        <v>40658</v>
      </c>
      <c r="F204" t="s">
        <v>144</v>
      </c>
      <c r="G204" t="s">
        <v>12</v>
      </c>
      <c r="H204" t="str">
        <f t="shared" si="9"/>
        <v>LOSS</v>
      </c>
      <c r="I204" t="s">
        <v>17</v>
      </c>
      <c r="J204" t="s">
        <v>19</v>
      </c>
      <c r="K204" t="s">
        <v>36</v>
      </c>
    </row>
    <row r="205" spans="1:11" x14ac:dyDescent="0.3">
      <c r="A205" t="s">
        <v>21</v>
      </c>
      <c r="B205" t="s">
        <v>10</v>
      </c>
      <c r="C205" t="str">
        <f t="shared" si="10"/>
        <v>IPL-2011</v>
      </c>
      <c r="D205">
        <f t="shared" si="11"/>
        <v>2011</v>
      </c>
      <c r="E205" s="1">
        <v>40659</v>
      </c>
      <c r="F205" t="s">
        <v>10</v>
      </c>
      <c r="G205" t="s">
        <v>12</v>
      </c>
      <c r="H205" t="str">
        <f t="shared" si="9"/>
        <v>WIN</v>
      </c>
      <c r="I205" t="s">
        <v>10</v>
      </c>
      <c r="J205" t="s">
        <v>151</v>
      </c>
      <c r="K205" t="s">
        <v>24</v>
      </c>
    </row>
    <row r="206" spans="1:11" x14ac:dyDescent="0.3">
      <c r="A206" t="s">
        <v>142</v>
      </c>
      <c r="B206" t="s">
        <v>28</v>
      </c>
      <c r="C206" t="str">
        <f t="shared" si="10"/>
        <v>IPL-2011</v>
      </c>
      <c r="D206">
        <f t="shared" si="11"/>
        <v>2011</v>
      </c>
      <c r="E206" s="1">
        <v>40660</v>
      </c>
      <c r="F206" t="s">
        <v>142</v>
      </c>
      <c r="G206" t="s">
        <v>12</v>
      </c>
      <c r="H206" t="str">
        <f t="shared" si="9"/>
        <v>LOSS</v>
      </c>
      <c r="I206" t="s">
        <v>28</v>
      </c>
      <c r="J206" t="s">
        <v>152</v>
      </c>
      <c r="K206" t="s">
        <v>143</v>
      </c>
    </row>
    <row r="207" spans="1:11" x14ac:dyDescent="0.3">
      <c r="A207" t="s">
        <v>144</v>
      </c>
      <c r="B207" t="s">
        <v>17</v>
      </c>
      <c r="C207" t="str">
        <f t="shared" si="10"/>
        <v>IPL-2011</v>
      </c>
      <c r="D207">
        <f t="shared" si="11"/>
        <v>2011</v>
      </c>
      <c r="E207" s="1">
        <v>40660</v>
      </c>
      <c r="F207" t="s">
        <v>144</v>
      </c>
      <c r="G207" t="s">
        <v>18</v>
      </c>
      <c r="H207" t="str">
        <f t="shared" si="9"/>
        <v>LOSS</v>
      </c>
      <c r="I207" t="s">
        <v>17</v>
      </c>
      <c r="J207" t="s">
        <v>139</v>
      </c>
      <c r="K207" t="s">
        <v>41</v>
      </c>
    </row>
    <row r="208" spans="1:11" x14ac:dyDescent="0.3">
      <c r="A208" t="s">
        <v>21</v>
      </c>
      <c r="B208" t="s">
        <v>11</v>
      </c>
      <c r="C208" t="str">
        <f t="shared" si="10"/>
        <v>IPL-2011</v>
      </c>
      <c r="D208">
        <f t="shared" si="11"/>
        <v>2011</v>
      </c>
      <c r="E208" s="1">
        <v>40661</v>
      </c>
      <c r="F208" t="s">
        <v>21</v>
      </c>
      <c r="G208" t="s">
        <v>12</v>
      </c>
      <c r="H208" t="str">
        <f t="shared" si="9"/>
        <v>LOSS</v>
      </c>
      <c r="I208" t="s">
        <v>11</v>
      </c>
      <c r="J208" t="s">
        <v>109</v>
      </c>
      <c r="K208" t="s">
        <v>24</v>
      </c>
    </row>
    <row r="209" spans="1:11" x14ac:dyDescent="0.3">
      <c r="A209" t="s">
        <v>10</v>
      </c>
      <c r="B209" t="s">
        <v>144</v>
      </c>
      <c r="C209" t="str">
        <f t="shared" si="10"/>
        <v>IPL-2011</v>
      </c>
      <c r="D209">
        <f t="shared" si="11"/>
        <v>2011</v>
      </c>
      <c r="E209" s="1">
        <v>40662</v>
      </c>
      <c r="F209" t="s">
        <v>144</v>
      </c>
      <c r="G209" t="s">
        <v>12</v>
      </c>
      <c r="H209" t="str">
        <f t="shared" si="9"/>
        <v>LOSS</v>
      </c>
      <c r="I209" t="s">
        <v>10</v>
      </c>
      <c r="J209" t="s">
        <v>151</v>
      </c>
      <c r="K209" t="s">
        <v>14</v>
      </c>
    </row>
    <row r="210" spans="1:11" x14ac:dyDescent="0.3">
      <c r="A210" t="s">
        <v>22</v>
      </c>
      <c r="B210" t="s">
        <v>25</v>
      </c>
      <c r="C210" t="str">
        <f t="shared" si="10"/>
        <v>IPL-2011</v>
      </c>
      <c r="D210">
        <f t="shared" si="11"/>
        <v>2011</v>
      </c>
      <c r="E210" s="1">
        <v>40662</v>
      </c>
      <c r="F210" t="s">
        <v>22</v>
      </c>
      <c r="G210" t="s">
        <v>12</v>
      </c>
      <c r="H210" t="str">
        <f t="shared" si="9"/>
        <v>WIN</v>
      </c>
      <c r="I210" t="s">
        <v>22</v>
      </c>
      <c r="J210" t="s">
        <v>153</v>
      </c>
      <c r="K210" t="s">
        <v>32</v>
      </c>
    </row>
    <row r="211" spans="1:11" x14ac:dyDescent="0.3">
      <c r="A211" t="s">
        <v>11</v>
      </c>
      <c r="B211" t="s">
        <v>16</v>
      </c>
      <c r="C211" t="str">
        <f t="shared" si="10"/>
        <v>IPL-2011</v>
      </c>
      <c r="D211">
        <f t="shared" si="11"/>
        <v>2011</v>
      </c>
      <c r="E211" s="1">
        <v>40663</v>
      </c>
      <c r="F211" t="s">
        <v>11</v>
      </c>
      <c r="G211" t="s">
        <v>12</v>
      </c>
      <c r="H211" t="str">
        <f t="shared" si="9"/>
        <v>WIN</v>
      </c>
      <c r="I211" t="s">
        <v>11</v>
      </c>
      <c r="J211" t="s">
        <v>154</v>
      </c>
      <c r="K211" t="s">
        <v>30</v>
      </c>
    </row>
    <row r="212" spans="1:11" x14ac:dyDescent="0.3">
      <c r="A212" t="s">
        <v>142</v>
      </c>
      <c r="B212" t="s">
        <v>21</v>
      </c>
      <c r="C212" t="str">
        <f t="shared" si="10"/>
        <v>IPL-2011</v>
      </c>
      <c r="D212">
        <f t="shared" si="11"/>
        <v>2011</v>
      </c>
      <c r="E212" s="1">
        <v>40663</v>
      </c>
      <c r="F212" t="s">
        <v>21</v>
      </c>
      <c r="G212" t="s">
        <v>18</v>
      </c>
      <c r="H212" t="str">
        <f t="shared" si="9"/>
        <v>WIN</v>
      </c>
      <c r="I212" t="s">
        <v>21</v>
      </c>
      <c r="J212" t="s">
        <v>33</v>
      </c>
      <c r="K212" t="s">
        <v>143</v>
      </c>
    </row>
    <row r="213" spans="1:11" x14ac:dyDescent="0.3">
      <c r="A213" t="s">
        <v>22</v>
      </c>
      <c r="B213" t="s">
        <v>144</v>
      </c>
      <c r="C213" t="str">
        <f t="shared" si="10"/>
        <v>IPL-2011</v>
      </c>
      <c r="D213">
        <f t="shared" si="11"/>
        <v>2011</v>
      </c>
      <c r="E213" s="1">
        <v>40664</v>
      </c>
      <c r="F213" t="s">
        <v>22</v>
      </c>
      <c r="G213" t="s">
        <v>12</v>
      </c>
      <c r="H213" t="str">
        <f t="shared" si="9"/>
        <v>WIN</v>
      </c>
      <c r="I213" t="s">
        <v>22</v>
      </c>
      <c r="J213" t="s">
        <v>98</v>
      </c>
      <c r="K213" t="s">
        <v>32</v>
      </c>
    </row>
    <row r="214" spans="1:11" x14ac:dyDescent="0.3">
      <c r="A214" t="s">
        <v>17</v>
      </c>
      <c r="B214" t="s">
        <v>28</v>
      </c>
      <c r="C214" t="str">
        <f t="shared" si="10"/>
        <v>IPL-2011</v>
      </c>
      <c r="D214">
        <f t="shared" si="11"/>
        <v>2011</v>
      </c>
      <c r="E214" s="1">
        <v>40664</v>
      </c>
      <c r="F214" t="s">
        <v>17</v>
      </c>
      <c r="G214" t="s">
        <v>18</v>
      </c>
      <c r="H214" t="str">
        <f t="shared" si="9"/>
        <v>WIN</v>
      </c>
      <c r="I214" t="s">
        <v>17</v>
      </c>
      <c r="J214" t="s">
        <v>64</v>
      </c>
      <c r="K214" t="s">
        <v>36</v>
      </c>
    </row>
    <row r="215" spans="1:11" x14ac:dyDescent="0.3">
      <c r="A215" t="s">
        <v>21</v>
      </c>
      <c r="B215" t="s">
        <v>142</v>
      </c>
      <c r="C215" t="str">
        <f t="shared" si="10"/>
        <v>IPL-2011</v>
      </c>
      <c r="D215">
        <f t="shared" si="11"/>
        <v>2011</v>
      </c>
      <c r="E215" s="1">
        <v>40665</v>
      </c>
      <c r="F215" t="s">
        <v>142</v>
      </c>
      <c r="G215" t="s">
        <v>12</v>
      </c>
      <c r="H215" t="str">
        <f t="shared" si="9"/>
        <v>WIN</v>
      </c>
      <c r="I215" t="s">
        <v>142</v>
      </c>
      <c r="J215" t="s">
        <v>155</v>
      </c>
      <c r="K215" t="s">
        <v>24</v>
      </c>
    </row>
    <row r="216" spans="1:11" x14ac:dyDescent="0.3">
      <c r="A216" t="s">
        <v>25</v>
      </c>
      <c r="B216" t="s">
        <v>16</v>
      </c>
      <c r="C216" t="str">
        <f t="shared" si="10"/>
        <v>IPL-2011</v>
      </c>
      <c r="D216">
        <f t="shared" si="11"/>
        <v>2011</v>
      </c>
      <c r="E216" s="1">
        <v>40665</v>
      </c>
      <c r="F216" t="s">
        <v>16</v>
      </c>
      <c r="G216" t="s">
        <v>12</v>
      </c>
      <c r="H216" t="str">
        <f t="shared" si="9"/>
        <v>LOSS</v>
      </c>
      <c r="I216" t="s">
        <v>25</v>
      </c>
      <c r="J216" t="s">
        <v>134</v>
      </c>
      <c r="K216" t="s">
        <v>27</v>
      </c>
    </row>
    <row r="217" spans="1:11" x14ac:dyDescent="0.3">
      <c r="A217" t="s">
        <v>28</v>
      </c>
      <c r="B217" t="s">
        <v>11</v>
      </c>
      <c r="C217" t="str">
        <f t="shared" si="10"/>
        <v>IPL-2011</v>
      </c>
      <c r="D217">
        <f t="shared" si="11"/>
        <v>2011</v>
      </c>
      <c r="E217" s="1">
        <v>40666</v>
      </c>
      <c r="F217" t="s">
        <v>28</v>
      </c>
      <c r="G217" t="s">
        <v>12</v>
      </c>
      <c r="H217" t="str">
        <f t="shared" si="9"/>
        <v>LOSS</v>
      </c>
      <c r="I217" t="s">
        <v>11</v>
      </c>
      <c r="J217" t="s">
        <v>37</v>
      </c>
      <c r="K217" t="s">
        <v>34</v>
      </c>
    </row>
    <row r="218" spans="1:11" x14ac:dyDescent="0.3">
      <c r="A218" t="s">
        <v>17</v>
      </c>
      <c r="B218" t="s">
        <v>22</v>
      </c>
      <c r="C218" t="str">
        <f t="shared" si="10"/>
        <v>IPL-2011</v>
      </c>
      <c r="D218">
        <f t="shared" si="11"/>
        <v>2011</v>
      </c>
      <c r="E218" s="1">
        <v>40667</v>
      </c>
      <c r="F218" t="s">
        <v>22</v>
      </c>
      <c r="G218" t="s">
        <v>18</v>
      </c>
      <c r="H218" t="str">
        <f t="shared" si="9"/>
        <v>LOSS</v>
      </c>
      <c r="I218" t="s">
        <v>17</v>
      </c>
      <c r="J218" t="s">
        <v>19</v>
      </c>
      <c r="K218" t="s">
        <v>36</v>
      </c>
    </row>
    <row r="219" spans="1:11" x14ac:dyDescent="0.3">
      <c r="A219" t="s">
        <v>144</v>
      </c>
      <c r="B219" t="s">
        <v>25</v>
      </c>
      <c r="C219" t="str">
        <f t="shared" si="10"/>
        <v>IPL-2011</v>
      </c>
      <c r="D219">
        <f t="shared" si="11"/>
        <v>2011</v>
      </c>
      <c r="E219" s="1">
        <v>40667</v>
      </c>
      <c r="F219" t="s">
        <v>144</v>
      </c>
      <c r="G219" t="s">
        <v>12</v>
      </c>
      <c r="H219" t="str">
        <f t="shared" si="9"/>
        <v>LOSS</v>
      </c>
      <c r="I219" t="s">
        <v>25</v>
      </c>
      <c r="J219" t="s">
        <v>156</v>
      </c>
      <c r="K219" t="s">
        <v>41</v>
      </c>
    </row>
    <row r="220" spans="1:11" x14ac:dyDescent="0.3">
      <c r="A220" t="s">
        <v>142</v>
      </c>
      <c r="B220" t="s">
        <v>11</v>
      </c>
      <c r="C220" t="str">
        <f t="shared" si="10"/>
        <v>IPL-2011</v>
      </c>
      <c r="D220">
        <f t="shared" si="11"/>
        <v>2011</v>
      </c>
      <c r="E220" s="1">
        <v>40668</v>
      </c>
      <c r="F220" t="s">
        <v>11</v>
      </c>
      <c r="G220" t="s">
        <v>12</v>
      </c>
      <c r="H220" t="str">
        <f t="shared" si="9"/>
        <v>LOSS</v>
      </c>
      <c r="I220" t="s">
        <v>142</v>
      </c>
      <c r="J220" t="s">
        <v>104</v>
      </c>
      <c r="K220" t="s">
        <v>143</v>
      </c>
    </row>
    <row r="221" spans="1:11" x14ac:dyDescent="0.3">
      <c r="A221" t="s">
        <v>28</v>
      </c>
      <c r="B221" t="s">
        <v>21</v>
      </c>
      <c r="C221" t="str">
        <f t="shared" si="10"/>
        <v>IPL-2011</v>
      </c>
      <c r="D221">
        <f t="shared" si="11"/>
        <v>2011</v>
      </c>
      <c r="E221" s="1">
        <v>40668</v>
      </c>
      <c r="F221" t="s">
        <v>21</v>
      </c>
      <c r="G221" t="s">
        <v>12</v>
      </c>
      <c r="H221" t="str">
        <f t="shared" si="9"/>
        <v>WIN</v>
      </c>
      <c r="I221" t="s">
        <v>21</v>
      </c>
      <c r="J221" t="s">
        <v>33</v>
      </c>
      <c r="K221" t="s">
        <v>34</v>
      </c>
    </row>
    <row r="222" spans="1:11" x14ac:dyDescent="0.3">
      <c r="A222" t="s">
        <v>10</v>
      </c>
      <c r="B222" t="s">
        <v>16</v>
      </c>
      <c r="C222" t="str">
        <f t="shared" si="10"/>
        <v>IPL-2011</v>
      </c>
      <c r="D222">
        <f t="shared" si="11"/>
        <v>2011</v>
      </c>
      <c r="E222" s="1">
        <v>40669</v>
      </c>
      <c r="F222" t="s">
        <v>16</v>
      </c>
      <c r="G222" t="s">
        <v>12</v>
      </c>
      <c r="H222" t="str">
        <f t="shared" si="9"/>
        <v>LOSS</v>
      </c>
      <c r="I222" t="s">
        <v>10</v>
      </c>
      <c r="J222" t="s">
        <v>77</v>
      </c>
      <c r="K222" t="s">
        <v>14</v>
      </c>
    </row>
    <row r="223" spans="1:11" x14ac:dyDescent="0.3">
      <c r="A223" t="s">
        <v>25</v>
      </c>
      <c r="B223" t="s">
        <v>21</v>
      </c>
      <c r="C223" t="str">
        <f t="shared" si="10"/>
        <v>IPL-2011</v>
      </c>
      <c r="D223">
        <f t="shared" si="11"/>
        <v>2011</v>
      </c>
      <c r="E223" s="1">
        <v>40670</v>
      </c>
      <c r="F223" t="s">
        <v>21</v>
      </c>
      <c r="G223" t="s">
        <v>12</v>
      </c>
      <c r="H223" t="str">
        <f t="shared" si="9"/>
        <v>LOSS</v>
      </c>
      <c r="I223" t="s">
        <v>25</v>
      </c>
      <c r="J223" t="s">
        <v>125</v>
      </c>
      <c r="K223" t="s">
        <v>27</v>
      </c>
    </row>
    <row r="224" spans="1:11" x14ac:dyDescent="0.3">
      <c r="A224" t="s">
        <v>11</v>
      </c>
      <c r="B224" t="s">
        <v>17</v>
      </c>
      <c r="C224" t="str">
        <f t="shared" si="10"/>
        <v>IPL-2011</v>
      </c>
      <c r="D224">
        <f t="shared" si="11"/>
        <v>2011</v>
      </c>
      <c r="E224" s="1">
        <v>40670</v>
      </c>
      <c r="F224" t="s">
        <v>17</v>
      </c>
      <c r="G224" t="s">
        <v>18</v>
      </c>
      <c r="H224" t="str">
        <f t="shared" si="9"/>
        <v>LOSS</v>
      </c>
      <c r="I224" t="s">
        <v>11</v>
      </c>
      <c r="J224" t="s">
        <v>154</v>
      </c>
      <c r="K224" t="s">
        <v>30</v>
      </c>
    </row>
    <row r="225" spans="1:11" x14ac:dyDescent="0.3">
      <c r="A225" t="s">
        <v>16</v>
      </c>
      <c r="B225" t="s">
        <v>144</v>
      </c>
      <c r="C225" t="str">
        <f t="shared" si="10"/>
        <v>IPL-2011</v>
      </c>
      <c r="D225">
        <f t="shared" si="11"/>
        <v>2011</v>
      </c>
      <c r="E225" s="1">
        <v>40671</v>
      </c>
      <c r="F225" t="s">
        <v>16</v>
      </c>
      <c r="G225" t="s">
        <v>18</v>
      </c>
      <c r="H225" t="str">
        <f t="shared" si="9"/>
        <v>LOSS</v>
      </c>
      <c r="I225" t="s">
        <v>144</v>
      </c>
      <c r="J225" t="s">
        <v>156</v>
      </c>
      <c r="K225" t="s">
        <v>20</v>
      </c>
    </row>
    <row r="226" spans="1:11" x14ac:dyDescent="0.3">
      <c r="A226" t="s">
        <v>10</v>
      </c>
      <c r="B226" t="s">
        <v>142</v>
      </c>
      <c r="C226" t="str">
        <f t="shared" si="10"/>
        <v>IPL-2011</v>
      </c>
      <c r="D226">
        <f t="shared" si="11"/>
        <v>2011</v>
      </c>
      <c r="E226" s="1">
        <v>40671</v>
      </c>
      <c r="F226" t="s">
        <v>142</v>
      </c>
      <c r="G226" t="s">
        <v>18</v>
      </c>
      <c r="H226" t="str">
        <f t="shared" si="9"/>
        <v>LOSS</v>
      </c>
      <c r="I226" t="s">
        <v>10</v>
      </c>
      <c r="J226" t="s">
        <v>77</v>
      </c>
      <c r="K226" t="s">
        <v>14</v>
      </c>
    </row>
    <row r="227" spans="1:11" x14ac:dyDescent="0.3">
      <c r="A227" t="s">
        <v>22</v>
      </c>
      <c r="B227" t="s">
        <v>17</v>
      </c>
      <c r="C227" t="str">
        <f t="shared" si="10"/>
        <v>IPL-2011</v>
      </c>
      <c r="D227">
        <f t="shared" si="11"/>
        <v>2011</v>
      </c>
      <c r="E227" s="1">
        <v>40672</v>
      </c>
      <c r="F227" t="s">
        <v>22</v>
      </c>
      <c r="G227" t="s">
        <v>12</v>
      </c>
      <c r="H227" t="str">
        <f t="shared" si="9"/>
        <v>LOSS</v>
      </c>
      <c r="I227" t="s">
        <v>17</v>
      </c>
      <c r="J227" t="s">
        <v>123</v>
      </c>
      <c r="K227" t="s">
        <v>32</v>
      </c>
    </row>
    <row r="228" spans="1:11" x14ac:dyDescent="0.3">
      <c r="A228" t="s">
        <v>16</v>
      </c>
      <c r="B228" t="s">
        <v>25</v>
      </c>
      <c r="C228" t="str">
        <f t="shared" si="10"/>
        <v>IPL-2011</v>
      </c>
      <c r="D228">
        <f t="shared" si="11"/>
        <v>2011</v>
      </c>
      <c r="E228" s="1">
        <v>40673</v>
      </c>
      <c r="F228" t="s">
        <v>25</v>
      </c>
      <c r="G228" t="s">
        <v>12</v>
      </c>
      <c r="H228" t="str">
        <f t="shared" si="9"/>
        <v>LOSS</v>
      </c>
      <c r="I228" t="s">
        <v>16</v>
      </c>
      <c r="J228" t="s">
        <v>157</v>
      </c>
      <c r="K228" t="s">
        <v>20</v>
      </c>
    </row>
    <row r="229" spans="1:11" x14ac:dyDescent="0.3">
      <c r="A229" t="s">
        <v>28</v>
      </c>
      <c r="B229" t="s">
        <v>144</v>
      </c>
      <c r="C229" t="str">
        <f t="shared" si="10"/>
        <v>IPL-2011</v>
      </c>
      <c r="D229">
        <f t="shared" si="11"/>
        <v>2011</v>
      </c>
      <c r="E229" s="1">
        <v>40673</v>
      </c>
      <c r="F229" t="s">
        <v>28</v>
      </c>
      <c r="G229" t="s">
        <v>18</v>
      </c>
      <c r="H229" t="str">
        <f t="shared" si="9"/>
        <v>LOSS</v>
      </c>
      <c r="I229" t="s">
        <v>144</v>
      </c>
      <c r="J229" t="s">
        <v>158</v>
      </c>
      <c r="K229" t="s">
        <v>34</v>
      </c>
    </row>
    <row r="230" spans="1:11" x14ac:dyDescent="0.3">
      <c r="A230" t="s">
        <v>22</v>
      </c>
      <c r="B230" t="s">
        <v>10</v>
      </c>
      <c r="C230" t="str">
        <f t="shared" si="10"/>
        <v>IPL-2011</v>
      </c>
      <c r="D230">
        <f t="shared" si="11"/>
        <v>2011</v>
      </c>
      <c r="E230" s="1">
        <v>40674</v>
      </c>
      <c r="F230" t="s">
        <v>10</v>
      </c>
      <c r="G230" t="s">
        <v>12</v>
      </c>
      <c r="H230" t="str">
        <f t="shared" si="9"/>
        <v>WIN</v>
      </c>
      <c r="I230" t="s">
        <v>10</v>
      </c>
      <c r="J230" t="s">
        <v>159</v>
      </c>
      <c r="K230" t="s">
        <v>32</v>
      </c>
    </row>
    <row r="231" spans="1:11" x14ac:dyDescent="0.3">
      <c r="A231" t="s">
        <v>17</v>
      </c>
      <c r="B231" t="s">
        <v>21</v>
      </c>
      <c r="C231" t="str">
        <f t="shared" si="10"/>
        <v>IPL-2011</v>
      </c>
      <c r="D231">
        <f t="shared" si="11"/>
        <v>2011</v>
      </c>
      <c r="E231" s="1">
        <v>40675</v>
      </c>
      <c r="F231" t="s">
        <v>17</v>
      </c>
      <c r="G231" t="s">
        <v>18</v>
      </c>
      <c r="H231" t="str">
        <f t="shared" si="9"/>
        <v>WIN</v>
      </c>
      <c r="I231" t="s">
        <v>17</v>
      </c>
      <c r="J231" t="s">
        <v>43</v>
      </c>
      <c r="K231" t="s">
        <v>36</v>
      </c>
    </row>
    <row r="232" spans="1:11" x14ac:dyDescent="0.3">
      <c r="A232" t="s">
        <v>142</v>
      </c>
      <c r="B232" t="s">
        <v>16</v>
      </c>
      <c r="C232" t="str">
        <f t="shared" si="10"/>
        <v>IPL-2011</v>
      </c>
      <c r="D232">
        <f t="shared" si="11"/>
        <v>2011</v>
      </c>
      <c r="E232" s="1">
        <v>40676</v>
      </c>
      <c r="F232" t="s">
        <v>16</v>
      </c>
      <c r="G232" t="s">
        <v>12</v>
      </c>
      <c r="H232" t="str">
        <f t="shared" si="9"/>
        <v>WIN</v>
      </c>
      <c r="I232" t="s">
        <v>16</v>
      </c>
      <c r="J232" t="s">
        <v>65</v>
      </c>
      <c r="K232" t="s">
        <v>160</v>
      </c>
    </row>
    <row r="233" spans="1:11" x14ac:dyDescent="0.3">
      <c r="A233" t="s">
        <v>25</v>
      </c>
      <c r="B233" t="s">
        <v>28</v>
      </c>
      <c r="C233" t="str">
        <f t="shared" si="10"/>
        <v>IPL-2011</v>
      </c>
      <c r="D233">
        <f t="shared" si="11"/>
        <v>2011</v>
      </c>
      <c r="E233" s="1">
        <v>40677</v>
      </c>
      <c r="F233" t="s">
        <v>28</v>
      </c>
      <c r="G233" t="s">
        <v>18</v>
      </c>
      <c r="H233" t="str">
        <f t="shared" si="9"/>
        <v>WIN</v>
      </c>
      <c r="I233" t="s">
        <v>28</v>
      </c>
      <c r="J233" t="s">
        <v>57</v>
      </c>
      <c r="K233" t="s">
        <v>27</v>
      </c>
    </row>
    <row r="234" spans="1:11" x14ac:dyDescent="0.3">
      <c r="A234" t="s">
        <v>10</v>
      </c>
      <c r="B234" t="s">
        <v>11</v>
      </c>
      <c r="C234" t="str">
        <f t="shared" si="10"/>
        <v>IPL-2011</v>
      </c>
      <c r="D234">
        <f t="shared" si="11"/>
        <v>2011</v>
      </c>
      <c r="E234" s="1">
        <v>40677</v>
      </c>
      <c r="F234" t="s">
        <v>10</v>
      </c>
      <c r="G234" t="s">
        <v>12</v>
      </c>
      <c r="H234" t="str">
        <f t="shared" si="9"/>
        <v>WIN</v>
      </c>
      <c r="I234" t="s">
        <v>10</v>
      </c>
      <c r="J234" t="s">
        <v>77</v>
      </c>
      <c r="K234" t="s">
        <v>14</v>
      </c>
    </row>
    <row r="235" spans="1:11" x14ac:dyDescent="0.3">
      <c r="A235" t="s">
        <v>142</v>
      </c>
      <c r="B235" t="s">
        <v>22</v>
      </c>
      <c r="C235" t="str">
        <f t="shared" si="10"/>
        <v>IPL-2011</v>
      </c>
      <c r="D235">
        <f t="shared" si="11"/>
        <v>2011</v>
      </c>
      <c r="E235" s="1">
        <v>40678</v>
      </c>
      <c r="F235" t="s">
        <v>142</v>
      </c>
      <c r="G235" t="s">
        <v>12</v>
      </c>
      <c r="H235" t="str">
        <f t="shared" si="9"/>
        <v>WIN</v>
      </c>
      <c r="I235" t="s">
        <v>142</v>
      </c>
      <c r="J235" t="s">
        <v>104</v>
      </c>
      <c r="K235" t="s">
        <v>160</v>
      </c>
    </row>
    <row r="236" spans="1:11" x14ac:dyDescent="0.3">
      <c r="A236" t="s">
        <v>16</v>
      </c>
      <c r="B236" t="s">
        <v>21</v>
      </c>
      <c r="C236" t="str">
        <f t="shared" si="10"/>
        <v>IPL-2011</v>
      </c>
      <c r="D236">
        <f t="shared" si="11"/>
        <v>2011</v>
      </c>
      <c r="E236" s="1">
        <v>40678</v>
      </c>
      <c r="F236" t="s">
        <v>21</v>
      </c>
      <c r="G236" t="s">
        <v>12</v>
      </c>
      <c r="H236" t="str">
        <f t="shared" si="9"/>
        <v>LOSS</v>
      </c>
      <c r="I236" t="s">
        <v>16</v>
      </c>
      <c r="J236" t="s">
        <v>131</v>
      </c>
      <c r="K236" t="s">
        <v>135</v>
      </c>
    </row>
    <row r="237" spans="1:11" x14ac:dyDescent="0.3">
      <c r="A237" t="s">
        <v>144</v>
      </c>
      <c r="B237" t="s">
        <v>28</v>
      </c>
      <c r="C237" t="str">
        <f t="shared" si="10"/>
        <v>IPL-2011</v>
      </c>
      <c r="D237">
        <f t="shared" si="11"/>
        <v>2011</v>
      </c>
      <c r="E237" s="1">
        <v>40679</v>
      </c>
      <c r="F237" t="s">
        <v>28</v>
      </c>
      <c r="G237" t="s">
        <v>12</v>
      </c>
      <c r="H237" t="str">
        <f t="shared" si="9"/>
        <v>WIN</v>
      </c>
      <c r="I237" t="s">
        <v>28</v>
      </c>
      <c r="J237" t="s">
        <v>57</v>
      </c>
      <c r="K237" t="s">
        <v>41</v>
      </c>
    </row>
    <row r="238" spans="1:11" x14ac:dyDescent="0.3">
      <c r="A238" t="s">
        <v>16</v>
      </c>
      <c r="B238" t="s">
        <v>10</v>
      </c>
      <c r="C238" t="str">
        <f t="shared" si="10"/>
        <v>IPL-2011</v>
      </c>
      <c r="D238">
        <f t="shared" si="11"/>
        <v>2011</v>
      </c>
      <c r="E238" s="1">
        <v>40680</v>
      </c>
      <c r="F238" t="s">
        <v>16</v>
      </c>
      <c r="G238" t="s">
        <v>18</v>
      </c>
      <c r="H238" t="str">
        <f t="shared" si="9"/>
        <v>WIN</v>
      </c>
      <c r="I238" t="s">
        <v>16</v>
      </c>
      <c r="J238" t="s">
        <v>40</v>
      </c>
      <c r="K238" t="s">
        <v>135</v>
      </c>
    </row>
    <row r="239" spans="1:11" x14ac:dyDescent="0.3">
      <c r="A239" t="s">
        <v>17</v>
      </c>
      <c r="B239" t="s">
        <v>142</v>
      </c>
      <c r="C239" t="str">
        <f t="shared" si="10"/>
        <v>IPL-2011</v>
      </c>
      <c r="D239">
        <f t="shared" si="11"/>
        <v>2011</v>
      </c>
      <c r="E239" s="1">
        <v>40681</v>
      </c>
      <c r="F239" t="s">
        <v>17</v>
      </c>
      <c r="G239" t="s">
        <v>18</v>
      </c>
      <c r="H239" t="str">
        <f t="shared" si="9"/>
        <v>WIN</v>
      </c>
      <c r="I239" t="s">
        <v>17</v>
      </c>
      <c r="J239" t="s">
        <v>161</v>
      </c>
      <c r="K239" t="s">
        <v>36</v>
      </c>
    </row>
    <row r="240" spans="1:11" x14ac:dyDescent="0.3">
      <c r="A240" t="s">
        <v>144</v>
      </c>
      <c r="B240" t="s">
        <v>11</v>
      </c>
      <c r="C240" t="str">
        <f t="shared" si="10"/>
        <v>IPL-2011</v>
      </c>
      <c r="D240">
        <f t="shared" si="11"/>
        <v>2011</v>
      </c>
      <c r="E240" s="1">
        <v>40682</v>
      </c>
      <c r="F240" t="s">
        <v>11</v>
      </c>
      <c r="G240" t="s">
        <v>12</v>
      </c>
      <c r="H240" t="str">
        <f t="shared" si="9"/>
        <v>WIN</v>
      </c>
      <c r="I240" t="s">
        <v>11</v>
      </c>
      <c r="J240" t="s">
        <v>37</v>
      </c>
      <c r="K240" t="s">
        <v>41</v>
      </c>
    </row>
    <row r="241" spans="1:11" x14ac:dyDescent="0.3">
      <c r="A241" t="s">
        <v>25</v>
      </c>
      <c r="B241" t="s">
        <v>22</v>
      </c>
      <c r="C241" t="str">
        <f t="shared" si="10"/>
        <v>IPL-2011</v>
      </c>
      <c r="D241">
        <f t="shared" si="11"/>
        <v>2011</v>
      </c>
      <c r="E241" s="1">
        <v>40683</v>
      </c>
      <c r="F241" t="s">
        <v>25</v>
      </c>
      <c r="G241" t="s">
        <v>18</v>
      </c>
      <c r="H241" t="str">
        <f t="shared" si="9"/>
        <v>LOSS</v>
      </c>
      <c r="I241" t="s">
        <v>22</v>
      </c>
      <c r="J241" t="s">
        <v>31</v>
      </c>
      <c r="K241" t="s">
        <v>27</v>
      </c>
    </row>
    <row r="242" spans="1:11" x14ac:dyDescent="0.3">
      <c r="A242" t="s">
        <v>16</v>
      </c>
      <c r="B242" t="s">
        <v>28</v>
      </c>
      <c r="C242" t="str">
        <f t="shared" si="10"/>
        <v>IPL-2011</v>
      </c>
      <c r="D242">
        <f t="shared" si="11"/>
        <v>2011</v>
      </c>
      <c r="E242" s="1">
        <v>40684</v>
      </c>
      <c r="F242" t="s">
        <v>16</v>
      </c>
      <c r="G242" t="s">
        <v>12</v>
      </c>
      <c r="H242" t="str">
        <f t="shared" si="9"/>
        <v>LOSS</v>
      </c>
      <c r="I242" t="s">
        <v>28</v>
      </c>
      <c r="J242" t="s">
        <v>162</v>
      </c>
      <c r="K242" t="s">
        <v>135</v>
      </c>
    </row>
    <row r="243" spans="1:11" x14ac:dyDescent="0.3">
      <c r="A243" t="s">
        <v>21</v>
      </c>
      <c r="B243" t="s">
        <v>144</v>
      </c>
      <c r="C243" t="str">
        <f t="shared" si="10"/>
        <v>IPL-2011</v>
      </c>
      <c r="D243">
        <f t="shared" si="11"/>
        <v>2011</v>
      </c>
      <c r="E243" s="1">
        <v>40684</v>
      </c>
      <c r="F243" t="s">
        <v>21</v>
      </c>
      <c r="G243" t="s">
        <v>18</v>
      </c>
      <c r="H243" t="str">
        <f t="shared" si="9"/>
        <v>LOSS</v>
      </c>
      <c r="J243" t="s">
        <v>15</v>
      </c>
      <c r="K243" t="s">
        <v>24</v>
      </c>
    </row>
    <row r="244" spans="1:11" x14ac:dyDescent="0.3">
      <c r="A244" t="s">
        <v>10</v>
      </c>
      <c r="B244" t="s">
        <v>17</v>
      </c>
      <c r="C244" t="str">
        <f t="shared" si="10"/>
        <v>IPL-2011</v>
      </c>
      <c r="D244">
        <f t="shared" si="11"/>
        <v>2011</v>
      </c>
      <c r="E244" s="1">
        <v>40685</v>
      </c>
      <c r="F244" t="s">
        <v>10</v>
      </c>
      <c r="G244" t="s">
        <v>12</v>
      </c>
      <c r="H244" t="str">
        <f t="shared" si="9"/>
        <v>WIN</v>
      </c>
      <c r="I244" t="s">
        <v>10</v>
      </c>
      <c r="J244" t="s">
        <v>77</v>
      </c>
      <c r="K244" t="s">
        <v>14</v>
      </c>
    </row>
    <row r="245" spans="1:11" x14ac:dyDescent="0.3">
      <c r="A245" t="s">
        <v>11</v>
      </c>
      <c r="B245" t="s">
        <v>25</v>
      </c>
      <c r="C245" t="str">
        <f t="shared" si="10"/>
        <v>IPL-2011</v>
      </c>
      <c r="D245">
        <f t="shared" si="11"/>
        <v>2011</v>
      </c>
      <c r="E245" s="1">
        <v>40685</v>
      </c>
      <c r="F245" t="s">
        <v>25</v>
      </c>
      <c r="G245" t="s">
        <v>12</v>
      </c>
      <c r="H245" t="str">
        <f t="shared" si="9"/>
        <v>WIN</v>
      </c>
      <c r="I245" t="s">
        <v>25</v>
      </c>
      <c r="J245" t="s">
        <v>163</v>
      </c>
      <c r="K245" t="s">
        <v>30</v>
      </c>
    </row>
    <row r="246" spans="1:11" x14ac:dyDescent="0.3">
      <c r="A246" t="s">
        <v>10</v>
      </c>
      <c r="B246" t="s">
        <v>17</v>
      </c>
      <c r="C246" t="str">
        <f t="shared" si="10"/>
        <v>IPL-2011</v>
      </c>
      <c r="D246">
        <f t="shared" si="11"/>
        <v>2011</v>
      </c>
      <c r="E246" s="1">
        <v>40687</v>
      </c>
      <c r="F246" t="s">
        <v>17</v>
      </c>
      <c r="G246" t="s">
        <v>12</v>
      </c>
      <c r="H246" t="str">
        <f t="shared" si="9"/>
        <v>WIN</v>
      </c>
      <c r="I246" t="s">
        <v>17</v>
      </c>
      <c r="J246" t="s">
        <v>68</v>
      </c>
      <c r="K246" t="s">
        <v>27</v>
      </c>
    </row>
    <row r="247" spans="1:11" x14ac:dyDescent="0.3">
      <c r="A247" t="s">
        <v>25</v>
      </c>
      <c r="B247" t="s">
        <v>11</v>
      </c>
      <c r="C247" t="str">
        <f t="shared" si="10"/>
        <v>IPL-2011</v>
      </c>
      <c r="D247">
        <f t="shared" si="11"/>
        <v>2011</v>
      </c>
      <c r="E247" s="1">
        <v>40688</v>
      </c>
      <c r="F247" t="s">
        <v>25</v>
      </c>
      <c r="G247" t="s">
        <v>12</v>
      </c>
      <c r="H247" t="str">
        <f t="shared" si="9"/>
        <v>WIN</v>
      </c>
      <c r="I247" t="s">
        <v>25</v>
      </c>
      <c r="J247" t="s">
        <v>150</v>
      </c>
      <c r="K247" t="s">
        <v>27</v>
      </c>
    </row>
    <row r="248" spans="1:11" x14ac:dyDescent="0.3">
      <c r="A248" t="s">
        <v>10</v>
      </c>
      <c r="B248" t="s">
        <v>25</v>
      </c>
      <c r="C248" t="str">
        <f t="shared" si="10"/>
        <v>IPL-2011</v>
      </c>
      <c r="D248">
        <f t="shared" si="11"/>
        <v>2011</v>
      </c>
      <c r="E248" s="1">
        <v>40690</v>
      </c>
      <c r="F248" t="s">
        <v>25</v>
      </c>
      <c r="G248" t="s">
        <v>12</v>
      </c>
      <c r="H248" t="str">
        <f t="shared" si="9"/>
        <v>LOSS</v>
      </c>
      <c r="I248" t="s">
        <v>10</v>
      </c>
      <c r="J248" t="s">
        <v>77</v>
      </c>
      <c r="K248" t="s">
        <v>36</v>
      </c>
    </row>
    <row r="249" spans="1:11" x14ac:dyDescent="0.3">
      <c r="A249" t="s">
        <v>17</v>
      </c>
      <c r="B249" t="s">
        <v>10</v>
      </c>
      <c r="C249" t="str">
        <f t="shared" si="10"/>
        <v>IPL-2011</v>
      </c>
      <c r="D249">
        <f t="shared" si="11"/>
        <v>2011</v>
      </c>
      <c r="E249" s="1">
        <v>40691</v>
      </c>
      <c r="F249" t="s">
        <v>17</v>
      </c>
      <c r="G249" t="s">
        <v>18</v>
      </c>
      <c r="H249" t="str">
        <f t="shared" si="9"/>
        <v>WIN</v>
      </c>
      <c r="I249" t="s">
        <v>17</v>
      </c>
      <c r="J249" t="s">
        <v>123</v>
      </c>
      <c r="K249" t="s">
        <v>36</v>
      </c>
    </row>
    <row r="250" spans="1:11" x14ac:dyDescent="0.3">
      <c r="A250" t="s">
        <v>17</v>
      </c>
      <c r="B250" t="s">
        <v>25</v>
      </c>
      <c r="C250" t="str">
        <f t="shared" si="10"/>
        <v>IPL-2012</v>
      </c>
      <c r="D250">
        <f t="shared" si="11"/>
        <v>2012</v>
      </c>
      <c r="E250" s="1">
        <v>41003</v>
      </c>
      <c r="F250" t="s">
        <v>25</v>
      </c>
      <c r="G250" t="s">
        <v>12</v>
      </c>
      <c r="H250" t="str">
        <f t="shared" si="9"/>
        <v>WIN</v>
      </c>
      <c r="I250" t="s">
        <v>25</v>
      </c>
      <c r="J250" t="s">
        <v>164</v>
      </c>
      <c r="K250" t="s">
        <v>36</v>
      </c>
    </row>
    <row r="251" spans="1:11" x14ac:dyDescent="0.3">
      <c r="A251" t="s">
        <v>11</v>
      </c>
      <c r="B251" t="s">
        <v>21</v>
      </c>
      <c r="C251" t="str">
        <f t="shared" si="10"/>
        <v>IPL-2012</v>
      </c>
      <c r="D251">
        <f t="shared" si="11"/>
        <v>2012</v>
      </c>
      <c r="E251" s="1">
        <v>41004</v>
      </c>
      <c r="F251" t="s">
        <v>21</v>
      </c>
      <c r="G251" t="s">
        <v>12</v>
      </c>
      <c r="H251" t="str">
        <f t="shared" si="9"/>
        <v>WIN</v>
      </c>
      <c r="I251" t="s">
        <v>21</v>
      </c>
      <c r="J251" t="s">
        <v>49</v>
      </c>
      <c r="K251" t="s">
        <v>30</v>
      </c>
    </row>
    <row r="252" spans="1:11" x14ac:dyDescent="0.3">
      <c r="A252" t="s">
        <v>25</v>
      </c>
      <c r="B252" t="s">
        <v>144</v>
      </c>
      <c r="C252" t="str">
        <f t="shared" si="10"/>
        <v>IPL-2012</v>
      </c>
      <c r="D252">
        <f t="shared" si="11"/>
        <v>2012</v>
      </c>
      <c r="E252" s="1">
        <v>41005</v>
      </c>
      <c r="F252" t="s">
        <v>25</v>
      </c>
      <c r="G252" t="s">
        <v>12</v>
      </c>
      <c r="H252" t="str">
        <f t="shared" si="9"/>
        <v>LOSS</v>
      </c>
      <c r="I252" t="s">
        <v>144</v>
      </c>
      <c r="J252" t="s">
        <v>165</v>
      </c>
      <c r="K252" t="s">
        <v>27</v>
      </c>
    </row>
    <row r="253" spans="1:11" x14ac:dyDescent="0.3">
      <c r="A253" t="s">
        <v>22</v>
      </c>
      <c r="B253" t="s">
        <v>16</v>
      </c>
      <c r="C253" t="str">
        <f t="shared" si="10"/>
        <v>IPL-2012</v>
      </c>
      <c r="D253">
        <f t="shared" si="11"/>
        <v>2012</v>
      </c>
      <c r="E253" s="1">
        <v>41005</v>
      </c>
      <c r="F253" t="s">
        <v>16</v>
      </c>
      <c r="G253" t="s">
        <v>12</v>
      </c>
      <c r="H253" t="str">
        <f t="shared" si="9"/>
        <v>LOSS</v>
      </c>
      <c r="I253" t="s">
        <v>22</v>
      </c>
      <c r="J253" t="s">
        <v>166</v>
      </c>
      <c r="K253" t="s">
        <v>32</v>
      </c>
    </row>
    <row r="254" spans="1:11" x14ac:dyDescent="0.3">
      <c r="A254" t="s">
        <v>28</v>
      </c>
      <c r="B254" t="s">
        <v>17</v>
      </c>
      <c r="C254" t="str">
        <f t="shared" si="10"/>
        <v>IPL-2012</v>
      </c>
      <c r="D254">
        <f t="shared" si="11"/>
        <v>2012</v>
      </c>
      <c r="E254" s="1">
        <v>41006</v>
      </c>
      <c r="F254" t="s">
        <v>28</v>
      </c>
      <c r="G254" t="s">
        <v>12</v>
      </c>
      <c r="H254" t="str">
        <f t="shared" si="9"/>
        <v>LOSS</v>
      </c>
      <c r="I254" t="s">
        <v>17</v>
      </c>
      <c r="J254" t="s">
        <v>167</v>
      </c>
      <c r="K254" t="s">
        <v>168</v>
      </c>
    </row>
    <row r="255" spans="1:11" x14ac:dyDescent="0.3">
      <c r="A255" t="s">
        <v>10</v>
      </c>
      <c r="B255" t="s">
        <v>21</v>
      </c>
      <c r="C255" t="str">
        <f t="shared" si="10"/>
        <v>IPL-2012</v>
      </c>
      <c r="D255">
        <f t="shared" si="11"/>
        <v>2012</v>
      </c>
      <c r="E255" s="1">
        <v>41006</v>
      </c>
      <c r="F255" t="s">
        <v>21</v>
      </c>
      <c r="G255" t="s">
        <v>12</v>
      </c>
      <c r="H255" t="str">
        <f t="shared" si="9"/>
        <v>LOSS</v>
      </c>
      <c r="I255" t="s">
        <v>10</v>
      </c>
      <c r="J255" t="s">
        <v>79</v>
      </c>
      <c r="K255" t="s">
        <v>14</v>
      </c>
    </row>
    <row r="256" spans="1:11" x14ac:dyDescent="0.3">
      <c r="A256" t="s">
        <v>144</v>
      </c>
      <c r="B256" t="s">
        <v>16</v>
      </c>
      <c r="C256" t="str">
        <f t="shared" si="10"/>
        <v>IPL-2012</v>
      </c>
      <c r="D256">
        <f t="shared" si="11"/>
        <v>2012</v>
      </c>
      <c r="E256" s="1">
        <v>41007</v>
      </c>
      <c r="F256" t="s">
        <v>144</v>
      </c>
      <c r="G256" t="s">
        <v>18</v>
      </c>
      <c r="H256" t="str">
        <f t="shared" si="9"/>
        <v>WIN</v>
      </c>
      <c r="I256" t="s">
        <v>144</v>
      </c>
      <c r="J256" t="s">
        <v>169</v>
      </c>
      <c r="K256" t="s">
        <v>170</v>
      </c>
    </row>
    <row r="257" spans="1:11" x14ac:dyDescent="0.3">
      <c r="A257" t="s">
        <v>22</v>
      </c>
      <c r="B257" t="s">
        <v>11</v>
      </c>
      <c r="C257" t="str">
        <f t="shared" si="10"/>
        <v>IPL-2012</v>
      </c>
      <c r="D257">
        <f t="shared" si="11"/>
        <v>2012</v>
      </c>
      <c r="E257" s="1">
        <v>41007</v>
      </c>
      <c r="F257" t="s">
        <v>11</v>
      </c>
      <c r="G257" t="s">
        <v>12</v>
      </c>
      <c r="H257" t="str">
        <f t="shared" si="9"/>
        <v>LOSS</v>
      </c>
      <c r="I257" t="s">
        <v>22</v>
      </c>
      <c r="J257" t="s">
        <v>104</v>
      </c>
      <c r="K257" t="s">
        <v>32</v>
      </c>
    </row>
    <row r="258" spans="1:11" x14ac:dyDescent="0.3">
      <c r="A258" t="s">
        <v>28</v>
      </c>
      <c r="B258" t="s">
        <v>25</v>
      </c>
      <c r="C258" t="str">
        <f t="shared" si="10"/>
        <v>IPL-2012</v>
      </c>
      <c r="D258">
        <f t="shared" si="11"/>
        <v>2012</v>
      </c>
      <c r="E258" s="1">
        <v>41008</v>
      </c>
      <c r="F258" t="s">
        <v>28</v>
      </c>
      <c r="G258" t="s">
        <v>18</v>
      </c>
      <c r="H258" t="str">
        <f t="shared" ref="H258:H321" si="12">IF(F258=I258,"WIN","LOSS")</f>
        <v>LOSS</v>
      </c>
      <c r="I258" t="s">
        <v>25</v>
      </c>
      <c r="J258" t="s">
        <v>93</v>
      </c>
      <c r="K258" t="s">
        <v>168</v>
      </c>
    </row>
    <row r="259" spans="1:11" x14ac:dyDescent="0.3">
      <c r="A259" t="s">
        <v>10</v>
      </c>
      <c r="B259" t="s">
        <v>11</v>
      </c>
      <c r="C259" t="str">
        <f t="shared" ref="C259:C322" si="13">_xlfn.CONCAT("IPL-",D259)</f>
        <v>IPL-2012</v>
      </c>
      <c r="D259">
        <f t="shared" ref="D259:D322" si="14">YEAR(E259)</f>
        <v>2012</v>
      </c>
      <c r="E259" s="1">
        <v>41009</v>
      </c>
      <c r="F259" t="s">
        <v>10</v>
      </c>
      <c r="G259" t="s">
        <v>12</v>
      </c>
      <c r="H259" t="str">
        <f t="shared" si="12"/>
        <v>LOSS</v>
      </c>
      <c r="I259" t="s">
        <v>11</v>
      </c>
      <c r="J259" t="s">
        <v>55</v>
      </c>
      <c r="K259" t="s">
        <v>14</v>
      </c>
    </row>
    <row r="260" spans="1:11" x14ac:dyDescent="0.3">
      <c r="A260" t="s">
        <v>21</v>
      </c>
      <c r="B260" t="s">
        <v>17</v>
      </c>
      <c r="C260" t="str">
        <f t="shared" si="13"/>
        <v>IPL-2012</v>
      </c>
      <c r="D260">
        <f t="shared" si="14"/>
        <v>2012</v>
      </c>
      <c r="E260" s="1">
        <v>41009</v>
      </c>
      <c r="F260" t="s">
        <v>21</v>
      </c>
      <c r="G260" t="s">
        <v>12</v>
      </c>
      <c r="H260" t="str">
        <f t="shared" si="12"/>
        <v>WIN</v>
      </c>
      <c r="I260" t="s">
        <v>21</v>
      </c>
      <c r="J260" t="s">
        <v>171</v>
      </c>
      <c r="K260" t="s">
        <v>24</v>
      </c>
    </row>
    <row r="261" spans="1:11" x14ac:dyDescent="0.3">
      <c r="A261" t="s">
        <v>25</v>
      </c>
      <c r="B261" t="s">
        <v>22</v>
      </c>
      <c r="C261" t="str">
        <f t="shared" si="13"/>
        <v>IPL-2012</v>
      </c>
      <c r="D261">
        <f t="shared" si="14"/>
        <v>2012</v>
      </c>
      <c r="E261" s="1">
        <v>41010</v>
      </c>
      <c r="F261" t="s">
        <v>22</v>
      </c>
      <c r="G261" t="s">
        <v>12</v>
      </c>
      <c r="H261" t="str">
        <f t="shared" si="12"/>
        <v>LOSS</v>
      </c>
      <c r="I261" t="s">
        <v>25</v>
      </c>
      <c r="J261" t="s">
        <v>134</v>
      </c>
      <c r="K261" t="s">
        <v>27</v>
      </c>
    </row>
    <row r="262" spans="1:11" x14ac:dyDescent="0.3">
      <c r="A262" t="s">
        <v>17</v>
      </c>
      <c r="B262" t="s">
        <v>10</v>
      </c>
      <c r="C262" t="str">
        <f t="shared" si="13"/>
        <v>IPL-2012</v>
      </c>
      <c r="D262">
        <f t="shared" si="14"/>
        <v>2012</v>
      </c>
      <c r="E262" s="1">
        <v>41011</v>
      </c>
      <c r="F262" t="s">
        <v>10</v>
      </c>
      <c r="G262" t="s">
        <v>18</v>
      </c>
      <c r="H262" t="str">
        <f t="shared" si="12"/>
        <v>LOSS</v>
      </c>
      <c r="I262" t="s">
        <v>17</v>
      </c>
      <c r="J262" t="s">
        <v>172</v>
      </c>
      <c r="K262" t="s">
        <v>36</v>
      </c>
    </row>
    <row r="263" spans="1:11" x14ac:dyDescent="0.3">
      <c r="A263" t="s">
        <v>16</v>
      </c>
      <c r="B263" t="s">
        <v>144</v>
      </c>
      <c r="C263" t="str">
        <f t="shared" si="13"/>
        <v>IPL-2012</v>
      </c>
      <c r="D263">
        <f t="shared" si="14"/>
        <v>2012</v>
      </c>
      <c r="E263" s="1">
        <v>41011</v>
      </c>
      <c r="F263" t="s">
        <v>16</v>
      </c>
      <c r="G263" t="s">
        <v>12</v>
      </c>
      <c r="H263" t="str">
        <f t="shared" si="12"/>
        <v>WIN</v>
      </c>
      <c r="I263" t="s">
        <v>16</v>
      </c>
      <c r="J263" t="s">
        <v>173</v>
      </c>
      <c r="K263" t="s">
        <v>20</v>
      </c>
    </row>
    <row r="264" spans="1:11" x14ac:dyDescent="0.3">
      <c r="A264" t="s">
        <v>11</v>
      </c>
      <c r="B264" t="s">
        <v>22</v>
      </c>
      <c r="C264" t="str">
        <f t="shared" si="13"/>
        <v>IPL-2012</v>
      </c>
      <c r="D264">
        <f t="shared" si="14"/>
        <v>2012</v>
      </c>
      <c r="E264" s="1">
        <v>41012</v>
      </c>
      <c r="F264" t="s">
        <v>22</v>
      </c>
      <c r="G264" t="s">
        <v>18</v>
      </c>
      <c r="H264" t="str">
        <f t="shared" si="12"/>
        <v>LOSS</v>
      </c>
      <c r="I264" t="s">
        <v>11</v>
      </c>
      <c r="J264" t="s">
        <v>174</v>
      </c>
      <c r="K264" t="s">
        <v>30</v>
      </c>
    </row>
    <row r="265" spans="1:11" x14ac:dyDescent="0.3">
      <c r="A265" t="s">
        <v>144</v>
      </c>
      <c r="B265" t="s">
        <v>17</v>
      </c>
      <c r="C265" t="str">
        <f t="shared" si="13"/>
        <v>IPL-2012</v>
      </c>
      <c r="D265">
        <f t="shared" si="14"/>
        <v>2012</v>
      </c>
      <c r="E265" s="1">
        <v>41013</v>
      </c>
      <c r="F265" t="s">
        <v>17</v>
      </c>
      <c r="G265" t="s">
        <v>18</v>
      </c>
      <c r="H265" t="str">
        <f t="shared" si="12"/>
        <v>LOSS</v>
      </c>
      <c r="I265" t="s">
        <v>144</v>
      </c>
      <c r="J265" t="s">
        <v>175</v>
      </c>
      <c r="K265" t="s">
        <v>170</v>
      </c>
    </row>
    <row r="266" spans="1:11" x14ac:dyDescent="0.3">
      <c r="A266" t="s">
        <v>10</v>
      </c>
      <c r="B266" t="s">
        <v>22</v>
      </c>
      <c r="C266" t="str">
        <f t="shared" si="13"/>
        <v>IPL-2012</v>
      </c>
      <c r="D266">
        <f t="shared" si="14"/>
        <v>2012</v>
      </c>
      <c r="E266" s="1">
        <v>41014</v>
      </c>
      <c r="F266" t="s">
        <v>22</v>
      </c>
      <c r="G266" t="s">
        <v>18</v>
      </c>
      <c r="H266" t="str">
        <f t="shared" si="12"/>
        <v>WIN</v>
      </c>
      <c r="I266" t="s">
        <v>22</v>
      </c>
      <c r="J266" t="s">
        <v>166</v>
      </c>
      <c r="K266" t="s">
        <v>14</v>
      </c>
    </row>
    <row r="267" spans="1:11" x14ac:dyDescent="0.3">
      <c r="A267" t="s">
        <v>11</v>
      </c>
      <c r="B267" t="s">
        <v>16</v>
      </c>
      <c r="C267" t="str">
        <f t="shared" si="13"/>
        <v>IPL-2012</v>
      </c>
      <c r="D267">
        <f t="shared" si="14"/>
        <v>2012</v>
      </c>
      <c r="E267" s="1">
        <v>41014</v>
      </c>
      <c r="F267" t="s">
        <v>11</v>
      </c>
      <c r="G267" t="s">
        <v>12</v>
      </c>
      <c r="H267" t="str">
        <f t="shared" si="12"/>
        <v>LOSS</v>
      </c>
      <c r="I267" t="s">
        <v>16</v>
      </c>
      <c r="J267" t="s">
        <v>176</v>
      </c>
      <c r="K267" t="s">
        <v>30</v>
      </c>
    </row>
    <row r="268" spans="1:11" x14ac:dyDescent="0.3">
      <c r="A268" t="s">
        <v>25</v>
      </c>
      <c r="B268" t="s">
        <v>21</v>
      </c>
      <c r="C268" t="str">
        <f t="shared" si="13"/>
        <v>IPL-2012</v>
      </c>
      <c r="D268">
        <f t="shared" si="14"/>
        <v>2012</v>
      </c>
      <c r="E268" s="1">
        <v>41015</v>
      </c>
      <c r="F268" t="s">
        <v>21</v>
      </c>
      <c r="G268" t="s">
        <v>12</v>
      </c>
      <c r="H268" t="str">
        <f t="shared" si="12"/>
        <v>WIN</v>
      </c>
      <c r="I268" t="s">
        <v>21</v>
      </c>
      <c r="J268" t="s">
        <v>177</v>
      </c>
      <c r="K268" t="s">
        <v>27</v>
      </c>
    </row>
    <row r="269" spans="1:11" x14ac:dyDescent="0.3">
      <c r="A269" t="s">
        <v>22</v>
      </c>
      <c r="B269" t="s">
        <v>28</v>
      </c>
      <c r="C269" t="str">
        <f t="shared" si="13"/>
        <v>IPL-2012</v>
      </c>
      <c r="D269">
        <f t="shared" si="14"/>
        <v>2012</v>
      </c>
      <c r="E269" s="1">
        <v>41016</v>
      </c>
      <c r="F269" t="s">
        <v>28</v>
      </c>
      <c r="G269" t="s">
        <v>18</v>
      </c>
      <c r="H269" t="str">
        <f t="shared" si="12"/>
        <v>LOSS</v>
      </c>
      <c r="I269" t="s">
        <v>22</v>
      </c>
      <c r="J269" t="s">
        <v>104</v>
      </c>
      <c r="K269" t="s">
        <v>32</v>
      </c>
    </row>
    <row r="270" spans="1:11" x14ac:dyDescent="0.3">
      <c r="A270" t="s">
        <v>10</v>
      </c>
      <c r="B270" t="s">
        <v>144</v>
      </c>
      <c r="C270" t="str">
        <f t="shared" si="13"/>
        <v>IPL-2012</v>
      </c>
      <c r="D270">
        <f t="shared" si="14"/>
        <v>2012</v>
      </c>
      <c r="E270" s="1">
        <v>41016</v>
      </c>
      <c r="F270" t="s">
        <v>144</v>
      </c>
      <c r="G270" t="s">
        <v>18</v>
      </c>
      <c r="H270" t="str">
        <f t="shared" si="12"/>
        <v>LOSS</v>
      </c>
      <c r="I270" t="s">
        <v>10</v>
      </c>
      <c r="J270" t="s">
        <v>77</v>
      </c>
      <c r="K270" t="s">
        <v>14</v>
      </c>
    </row>
    <row r="271" spans="1:11" x14ac:dyDescent="0.3">
      <c r="A271" t="s">
        <v>16</v>
      </c>
      <c r="B271" t="s">
        <v>11</v>
      </c>
      <c r="C271" t="str">
        <f t="shared" si="13"/>
        <v>IPL-2012</v>
      </c>
      <c r="D271">
        <f t="shared" si="14"/>
        <v>2012</v>
      </c>
      <c r="E271" s="1">
        <v>41017</v>
      </c>
      <c r="F271" t="s">
        <v>16</v>
      </c>
      <c r="G271" t="s">
        <v>18</v>
      </c>
      <c r="H271" t="str">
        <f t="shared" si="12"/>
        <v>LOSS</v>
      </c>
      <c r="I271" t="s">
        <v>11</v>
      </c>
      <c r="J271" t="s">
        <v>92</v>
      </c>
      <c r="K271" t="s">
        <v>20</v>
      </c>
    </row>
    <row r="272" spans="1:11" x14ac:dyDescent="0.3">
      <c r="A272" t="s">
        <v>17</v>
      </c>
      <c r="B272" t="s">
        <v>144</v>
      </c>
      <c r="C272" t="str">
        <f t="shared" si="13"/>
        <v>IPL-2012</v>
      </c>
      <c r="D272">
        <f t="shared" si="14"/>
        <v>2012</v>
      </c>
      <c r="E272" s="1">
        <v>41018</v>
      </c>
      <c r="F272" t="s">
        <v>144</v>
      </c>
      <c r="G272" t="s">
        <v>12</v>
      </c>
      <c r="H272" t="str">
        <f t="shared" si="12"/>
        <v>LOSS</v>
      </c>
      <c r="I272" t="s">
        <v>17</v>
      </c>
      <c r="J272" t="s">
        <v>178</v>
      </c>
      <c r="K272" t="s">
        <v>36</v>
      </c>
    </row>
    <row r="273" spans="1:11" x14ac:dyDescent="0.3">
      <c r="A273" t="s">
        <v>21</v>
      </c>
      <c r="B273" t="s">
        <v>28</v>
      </c>
      <c r="C273" t="str">
        <f t="shared" si="13"/>
        <v>IPL-2012</v>
      </c>
      <c r="D273">
        <f t="shared" si="14"/>
        <v>2012</v>
      </c>
      <c r="E273" s="1">
        <v>41018</v>
      </c>
      <c r="F273" t="s">
        <v>28</v>
      </c>
      <c r="G273" t="s">
        <v>18</v>
      </c>
      <c r="H273" t="str">
        <f t="shared" si="12"/>
        <v>LOSS</v>
      </c>
      <c r="I273" t="s">
        <v>21</v>
      </c>
      <c r="J273" t="s">
        <v>124</v>
      </c>
      <c r="K273" t="s">
        <v>24</v>
      </c>
    </row>
    <row r="274" spans="1:11" x14ac:dyDescent="0.3">
      <c r="A274" t="s">
        <v>16</v>
      </c>
      <c r="B274" t="s">
        <v>10</v>
      </c>
      <c r="C274" t="str">
        <f t="shared" si="13"/>
        <v>IPL-2012</v>
      </c>
      <c r="D274">
        <f t="shared" si="14"/>
        <v>2012</v>
      </c>
      <c r="E274" s="1">
        <v>41019</v>
      </c>
      <c r="F274" t="s">
        <v>10</v>
      </c>
      <c r="G274" t="s">
        <v>12</v>
      </c>
      <c r="H274" t="str">
        <f t="shared" si="12"/>
        <v>WIN</v>
      </c>
      <c r="I274" t="s">
        <v>10</v>
      </c>
      <c r="J274" t="s">
        <v>77</v>
      </c>
      <c r="K274" t="s">
        <v>20</v>
      </c>
    </row>
    <row r="275" spans="1:11" x14ac:dyDescent="0.3">
      <c r="A275" t="s">
        <v>21</v>
      </c>
      <c r="B275" t="s">
        <v>144</v>
      </c>
      <c r="C275" t="str">
        <f t="shared" si="13"/>
        <v>IPL-2012</v>
      </c>
      <c r="D275">
        <f t="shared" si="14"/>
        <v>2012</v>
      </c>
      <c r="E275" s="1">
        <v>41020</v>
      </c>
      <c r="F275" t="s">
        <v>21</v>
      </c>
      <c r="G275" t="s">
        <v>12</v>
      </c>
      <c r="H275" t="str">
        <f t="shared" si="12"/>
        <v>LOSS</v>
      </c>
      <c r="I275" t="s">
        <v>144</v>
      </c>
      <c r="J275" t="s">
        <v>54</v>
      </c>
      <c r="K275" t="s">
        <v>24</v>
      </c>
    </row>
    <row r="276" spans="1:11" x14ac:dyDescent="0.3">
      <c r="A276" t="s">
        <v>17</v>
      </c>
      <c r="B276" t="s">
        <v>22</v>
      </c>
      <c r="C276" t="str">
        <f t="shared" si="13"/>
        <v>IPL-2012</v>
      </c>
      <c r="D276">
        <f t="shared" si="14"/>
        <v>2012</v>
      </c>
      <c r="E276" s="1">
        <v>41020</v>
      </c>
      <c r="F276" t="s">
        <v>22</v>
      </c>
      <c r="G276" t="s">
        <v>18</v>
      </c>
      <c r="H276" t="str">
        <f t="shared" si="12"/>
        <v>LOSS</v>
      </c>
      <c r="I276" t="s">
        <v>17</v>
      </c>
      <c r="J276" t="s">
        <v>172</v>
      </c>
      <c r="K276" t="s">
        <v>36</v>
      </c>
    </row>
    <row r="277" spans="1:11" x14ac:dyDescent="0.3">
      <c r="A277" t="s">
        <v>28</v>
      </c>
      <c r="B277" t="s">
        <v>11</v>
      </c>
      <c r="C277" t="str">
        <f t="shared" si="13"/>
        <v>IPL-2012</v>
      </c>
      <c r="D277">
        <f t="shared" si="14"/>
        <v>2012</v>
      </c>
      <c r="E277" s="1">
        <v>41021</v>
      </c>
      <c r="F277" t="s">
        <v>11</v>
      </c>
      <c r="G277" t="s">
        <v>12</v>
      </c>
      <c r="H277" t="str">
        <f t="shared" si="12"/>
        <v>WIN</v>
      </c>
      <c r="I277" t="s">
        <v>11</v>
      </c>
      <c r="J277" t="s">
        <v>102</v>
      </c>
      <c r="K277" t="s">
        <v>113</v>
      </c>
    </row>
    <row r="278" spans="1:11" x14ac:dyDescent="0.3">
      <c r="A278" t="s">
        <v>25</v>
      </c>
      <c r="B278" t="s">
        <v>16</v>
      </c>
      <c r="C278" t="str">
        <f t="shared" si="13"/>
        <v>IPL-2012</v>
      </c>
      <c r="D278">
        <f t="shared" si="14"/>
        <v>2012</v>
      </c>
      <c r="E278" s="1">
        <v>41021</v>
      </c>
      <c r="F278" t="s">
        <v>25</v>
      </c>
      <c r="G278" t="s">
        <v>18</v>
      </c>
      <c r="H278" t="str">
        <f t="shared" si="12"/>
        <v>LOSS</v>
      </c>
      <c r="I278" t="s">
        <v>16</v>
      </c>
      <c r="J278" t="s">
        <v>47</v>
      </c>
      <c r="K278" t="s">
        <v>27</v>
      </c>
    </row>
    <row r="279" spans="1:11" x14ac:dyDescent="0.3">
      <c r="A279" t="s">
        <v>22</v>
      </c>
      <c r="B279" t="s">
        <v>10</v>
      </c>
      <c r="C279" t="str">
        <f t="shared" si="13"/>
        <v>IPL-2012</v>
      </c>
      <c r="D279">
        <f t="shared" si="14"/>
        <v>2012</v>
      </c>
      <c r="E279" s="1">
        <v>41022</v>
      </c>
      <c r="F279" t="s">
        <v>22</v>
      </c>
      <c r="G279" t="s">
        <v>12</v>
      </c>
      <c r="H279" t="str">
        <f t="shared" si="12"/>
        <v>LOSS</v>
      </c>
      <c r="I279" t="s">
        <v>10</v>
      </c>
      <c r="J279" t="s">
        <v>79</v>
      </c>
      <c r="K279" t="s">
        <v>32</v>
      </c>
    </row>
    <row r="280" spans="1:11" x14ac:dyDescent="0.3">
      <c r="A280" t="s">
        <v>144</v>
      </c>
      <c r="B280" t="s">
        <v>21</v>
      </c>
      <c r="C280" t="str">
        <f t="shared" si="13"/>
        <v>IPL-2012</v>
      </c>
      <c r="D280">
        <f t="shared" si="14"/>
        <v>2012</v>
      </c>
      <c r="E280" s="1">
        <v>41023</v>
      </c>
      <c r="F280" t="s">
        <v>144</v>
      </c>
      <c r="G280" t="s">
        <v>18</v>
      </c>
      <c r="H280" t="str">
        <f t="shared" si="12"/>
        <v>LOSS</v>
      </c>
      <c r="I280" t="s">
        <v>21</v>
      </c>
      <c r="J280" t="s">
        <v>33</v>
      </c>
      <c r="K280" t="s">
        <v>170</v>
      </c>
    </row>
    <row r="281" spans="1:11" x14ac:dyDescent="0.3">
      <c r="A281" t="s">
        <v>16</v>
      </c>
      <c r="B281" t="s">
        <v>25</v>
      </c>
      <c r="C281" t="str">
        <f t="shared" si="13"/>
        <v>IPL-2012</v>
      </c>
      <c r="D281">
        <f t="shared" si="14"/>
        <v>2012</v>
      </c>
      <c r="E281" s="1">
        <v>41024</v>
      </c>
      <c r="F281" t="s">
        <v>16</v>
      </c>
      <c r="G281" t="s">
        <v>18</v>
      </c>
      <c r="H281" t="str">
        <f t="shared" si="12"/>
        <v>LOSS</v>
      </c>
      <c r="I281" t="s">
        <v>25</v>
      </c>
      <c r="J281" t="s">
        <v>125</v>
      </c>
      <c r="K281" t="s">
        <v>20</v>
      </c>
    </row>
    <row r="282" spans="1:11" x14ac:dyDescent="0.3">
      <c r="A282" t="s">
        <v>144</v>
      </c>
      <c r="B282" t="s">
        <v>28</v>
      </c>
      <c r="C282" t="str">
        <f t="shared" si="13"/>
        <v>IPL-2012</v>
      </c>
      <c r="D282">
        <f t="shared" si="14"/>
        <v>2012</v>
      </c>
      <c r="E282" s="1">
        <v>41025</v>
      </c>
      <c r="F282" t="s">
        <v>28</v>
      </c>
      <c r="G282" t="s">
        <v>18</v>
      </c>
      <c r="H282" t="str">
        <f t="shared" si="12"/>
        <v>WIN</v>
      </c>
      <c r="I282" t="s">
        <v>28</v>
      </c>
      <c r="J282" t="s">
        <v>179</v>
      </c>
      <c r="K282" t="s">
        <v>170</v>
      </c>
    </row>
    <row r="283" spans="1:11" x14ac:dyDescent="0.3">
      <c r="A283" t="s">
        <v>21</v>
      </c>
      <c r="B283" t="s">
        <v>25</v>
      </c>
      <c r="C283" t="str">
        <f t="shared" si="13"/>
        <v>IPL-2012</v>
      </c>
      <c r="D283">
        <f t="shared" si="14"/>
        <v>2012</v>
      </c>
      <c r="E283" s="1">
        <v>41026</v>
      </c>
      <c r="F283" t="s">
        <v>25</v>
      </c>
      <c r="G283" t="s">
        <v>12</v>
      </c>
      <c r="H283" t="str">
        <f t="shared" si="12"/>
        <v>LOSS</v>
      </c>
      <c r="I283" t="s">
        <v>21</v>
      </c>
      <c r="J283" t="s">
        <v>33</v>
      </c>
      <c r="K283" t="s">
        <v>24</v>
      </c>
    </row>
    <row r="284" spans="1:11" x14ac:dyDescent="0.3">
      <c r="A284" t="s">
        <v>17</v>
      </c>
      <c r="B284" t="s">
        <v>16</v>
      </c>
      <c r="C284" t="str">
        <f t="shared" si="13"/>
        <v>IPL-2012</v>
      </c>
      <c r="D284">
        <f t="shared" si="14"/>
        <v>2012</v>
      </c>
      <c r="E284" s="1">
        <v>41027</v>
      </c>
      <c r="F284" t="s">
        <v>16</v>
      </c>
      <c r="G284" t="s">
        <v>18</v>
      </c>
      <c r="H284" t="str">
        <f t="shared" si="12"/>
        <v>WIN</v>
      </c>
      <c r="I284" t="s">
        <v>16</v>
      </c>
      <c r="J284" t="s">
        <v>180</v>
      </c>
      <c r="K284" t="s">
        <v>36</v>
      </c>
    </row>
    <row r="285" spans="1:11" x14ac:dyDescent="0.3">
      <c r="A285" t="s">
        <v>11</v>
      </c>
      <c r="B285" t="s">
        <v>10</v>
      </c>
      <c r="C285" t="str">
        <f t="shared" si="13"/>
        <v>IPL-2012</v>
      </c>
      <c r="D285">
        <f t="shared" si="14"/>
        <v>2012</v>
      </c>
      <c r="E285" s="1">
        <v>41027</v>
      </c>
      <c r="F285" t="s">
        <v>11</v>
      </c>
      <c r="G285" t="s">
        <v>18</v>
      </c>
      <c r="H285" t="str">
        <f t="shared" si="12"/>
        <v>WIN</v>
      </c>
      <c r="I285" t="s">
        <v>11</v>
      </c>
      <c r="J285" t="s">
        <v>92</v>
      </c>
      <c r="K285" t="s">
        <v>30</v>
      </c>
    </row>
    <row r="286" spans="1:11" x14ac:dyDescent="0.3">
      <c r="A286" t="s">
        <v>25</v>
      </c>
      <c r="B286" t="s">
        <v>28</v>
      </c>
      <c r="C286" t="str">
        <f t="shared" si="13"/>
        <v>IPL-2012</v>
      </c>
      <c r="D286">
        <f t="shared" si="14"/>
        <v>2012</v>
      </c>
      <c r="E286" s="1">
        <v>41028</v>
      </c>
      <c r="F286" t="s">
        <v>25</v>
      </c>
      <c r="G286" t="s">
        <v>12</v>
      </c>
      <c r="H286" t="str">
        <f t="shared" si="12"/>
        <v>WIN</v>
      </c>
      <c r="I286" t="s">
        <v>25</v>
      </c>
      <c r="J286" t="s">
        <v>148</v>
      </c>
      <c r="K286" t="s">
        <v>27</v>
      </c>
    </row>
    <row r="287" spans="1:11" x14ac:dyDescent="0.3">
      <c r="A287" t="s">
        <v>21</v>
      </c>
      <c r="B287" t="s">
        <v>22</v>
      </c>
      <c r="C287" t="str">
        <f t="shared" si="13"/>
        <v>IPL-2012</v>
      </c>
      <c r="D287">
        <f t="shared" si="14"/>
        <v>2012</v>
      </c>
      <c r="E287" s="1">
        <v>41028</v>
      </c>
      <c r="F287" t="s">
        <v>21</v>
      </c>
      <c r="G287" t="s">
        <v>18</v>
      </c>
      <c r="H287" t="str">
        <f t="shared" si="12"/>
        <v>WIN</v>
      </c>
      <c r="I287" t="s">
        <v>21</v>
      </c>
      <c r="J287" t="s">
        <v>33</v>
      </c>
      <c r="K287" t="s">
        <v>24</v>
      </c>
    </row>
    <row r="288" spans="1:11" x14ac:dyDescent="0.3">
      <c r="A288" t="s">
        <v>17</v>
      </c>
      <c r="B288" t="s">
        <v>11</v>
      </c>
      <c r="C288" t="str">
        <f t="shared" si="13"/>
        <v>IPL-2012</v>
      </c>
      <c r="D288">
        <f t="shared" si="14"/>
        <v>2012</v>
      </c>
      <c r="E288" s="1">
        <v>41029</v>
      </c>
      <c r="F288" t="s">
        <v>17</v>
      </c>
      <c r="G288" t="s">
        <v>18</v>
      </c>
      <c r="H288" t="str">
        <f t="shared" si="12"/>
        <v>LOSS</v>
      </c>
      <c r="I288" t="s">
        <v>11</v>
      </c>
      <c r="J288" t="s">
        <v>92</v>
      </c>
      <c r="K288" t="s">
        <v>36</v>
      </c>
    </row>
    <row r="289" spans="1:11" x14ac:dyDescent="0.3">
      <c r="A289" t="s">
        <v>28</v>
      </c>
      <c r="B289" t="s">
        <v>144</v>
      </c>
      <c r="C289" t="str">
        <f t="shared" si="13"/>
        <v>IPL-2012</v>
      </c>
      <c r="D289">
        <f t="shared" si="14"/>
        <v>2012</v>
      </c>
      <c r="E289" s="1">
        <v>41030</v>
      </c>
      <c r="F289" t="s">
        <v>28</v>
      </c>
      <c r="G289" t="s">
        <v>18</v>
      </c>
      <c r="H289" t="str">
        <f t="shared" si="12"/>
        <v>WIN</v>
      </c>
      <c r="I289" t="s">
        <v>28</v>
      </c>
      <c r="J289" t="s">
        <v>38</v>
      </c>
      <c r="K289" t="s">
        <v>113</v>
      </c>
    </row>
    <row r="290" spans="1:11" x14ac:dyDescent="0.3">
      <c r="A290" t="s">
        <v>22</v>
      </c>
      <c r="B290" t="s">
        <v>21</v>
      </c>
      <c r="C290" t="str">
        <f t="shared" si="13"/>
        <v>IPL-2012</v>
      </c>
      <c r="D290">
        <f t="shared" si="14"/>
        <v>2012</v>
      </c>
      <c r="E290" s="1">
        <v>41030</v>
      </c>
      <c r="F290" t="s">
        <v>22</v>
      </c>
      <c r="G290" t="s">
        <v>18</v>
      </c>
      <c r="H290" t="str">
        <f t="shared" si="12"/>
        <v>LOSS</v>
      </c>
      <c r="I290" t="s">
        <v>21</v>
      </c>
      <c r="J290" t="s">
        <v>181</v>
      </c>
      <c r="K290" t="s">
        <v>32</v>
      </c>
    </row>
    <row r="291" spans="1:11" x14ac:dyDescent="0.3">
      <c r="A291" t="s">
        <v>10</v>
      </c>
      <c r="B291" t="s">
        <v>16</v>
      </c>
      <c r="C291" t="str">
        <f t="shared" si="13"/>
        <v>IPL-2012</v>
      </c>
      <c r="D291">
        <f t="shared" si="14"/>
        <v>2012</v>
      </c>
      <c r="E291" s="1">
        <v>41031</v>
      </c>
      <c r="F291" t="s">
        <v>16</v>
      </c>
      <c r="G291" t="s">
        <v>12</v>
      </c>
      <c r="H291" t="str">
        <f t="shared" si="12"/>
        <v>WIN</v>
      </c>
      <c r="I291" t="s">
        <v>16</v>
      </c>
      <c r="J291" t="s">
        <v>182</v>
      </c>
      <c r="K291" t="s">
        <v>14</v>
      </c>
    </row>
    <row r="292" spans="1:11" x14ac:dyDescent="0.3">
      <c r="A292" t="s">
        <v>144</v>
      </c>
      <c r="B292" t="s">
        <v>25</v>
      </c>
      <c r="C292" t="str">
        <f t="shared" si="13"/>
        <v>IPL-2012</v>
      </c>
      <c r="D292">
        <f t="shared" si="14"/>
        <v>2012</v>
      </c>
      <c r="E292" s="1">
        <v>41032</v>
      </c>
      <c r="F292" t="s">
        <v>25</v>
      </c>
      <c r="G292" t="s">
        <v>18</v>
      </c>
      <c r="H292" t="str">
        <f t="shared" si="12"/>
        <v>WIN</v>
      </c>
      <c r="I292" t="s">
        <v>25</v>
      </c>
      <c r="J292" t="s">
        <v>122</v>
      </c>
      <c r="K292" t="s">
        <v>170</v>
      </c>
    </row>
    <row r="293" spans="1:11" x14ac:dyDescent="0.3">
      <c r="A293" t="s">
        <v>17</v>
      </c>
      <c r="B293" t="s">
        <v>28</v>
      </c>
      <c r="C293" t="str">
        <f t="shared" si="13"/>
        <v>IPL-2012</v>
      </c>
      <c r="D293">
        <f t="shared" si="14"/>
        <v>2012</v>
      </c>
      <c r="E293" s="1">
        <v>41033</v>
      </c>
      <c r="F293" t="s">
        <v>17</v>
      </c>
      <c r="G293" t="s">
        <v>18</v>
      </c>
      <c r="H293" t="str">
        <f t="shared" si="12"/>
        <v>WIN</v>
      </c>
      <c r="I293" t="s">
        <v>17</v>
      </c>
      <c r="J293" t="s">
        <v>68</v>
      </c>
      <c r="K293" t="s">
        <v>36</v>
      </c>
    </row>
    <row r="294" spans="1:11" x14ac:dyDescent="0.3">
      <c r="A294" t="s">
        <v>16</v>
      </c>
      <c r="B294" t="s">
        <v>22</v>
      </c>
      <c r="C294" t="str">
        <f t="shared" si="13"/>
        <v>IPL-2012</v>
      </c>
      <c r="D294">
        <f t="shared" si="14"/>
        <v>2012</v>
      </c>
      <c r="E294" s="1">
        <v>41034</v>
      </c>
      <c r="F294" t="s">
        <v>22</v>
      </c>
      <c r="G294" t="s">
        <v>18</v>
      </c>
      <c r="H294" t="str">
        <f t="shared" si="12"/>
        <v>WIN</v>
      </c>
      <c r="I294" t="s">
        <v>22</v>
      </c>
      <c r="J294" t="s">
        <v>31</v>
      </c>
      <c r="K294" t="s">
        <v>20</v>
      </c>
    </row>
    <row r="295" spans="1:11" x14ac:dyDescent="0.3">
      <c r="A295" t="s">
        <v>11</v>
      </c>
      <c r="B295" t="s">
        <v>144</v>
      </c>
      <c r="C295" t="str">
        <f t="shared" si="13"/>
        <v>IPL-2012</v>
      </c>
      <c r="D295">
        <f t="shared" si="14"/>
        <v>2012</v>
      </c>
      <c r="E295" s="1">
        <v>41034</v>
      </c>
      <c r="F295" t="s">
        <v>11</v>
      </c>
      <c r="G295" t="s">
        <v>18</v>
      </c>
      <c r="H295" t="str">
        <f t="shared" si="12"/>
        <v>WIN</v>
      </c>
      <c r="I295" t="s">
        <v>11</v>
      </c>
      <c r="J295" t="s">
        <v>176</v>
      </c>
      <c r="K295" t="s">
        <v>30</v>
      </c>
    </row>
    <row r="296" spans="1:11" x14ac:dyDescent="0.3">
      <c r="A296" t="s">
        <v>25</v>
      </c>
      <c r="B296" t="s">
        <v>17</v>
      </c>
      <c r="C296" t="str">
        <f t="shared" si="13"/>
        <v>IPL-2012</v>
      </c>
      <c r="D296">
        <f t="shared" si="14"/>
        <v>2012</v>
      </c>
      <c r="E296" s="1">
        <v>41035</v>
      </c>
      <c r="F296" t="s">
        <v>25</v>
      </c>
      <c r="G296" t="s">
        <v>12</v>
      </c>
      <c r="H296" t="str">
        <f t="shared" si="12"/>
        <v>WIN</v>
      </c>
      <c r="I296" t="s">
        <v>25</v>
      </c>
      <c r="J296" t="s">
        <v>97</v>
      </c>
      <c r="K296" t="s">
        <v>27</v>
      </c>
    </row>
    <row r="297" spans="1:11" x14ac:dyDescent="0.3">
      <c r="A297" t="s">
        <v>10</v>
      </c>
      <c r="B297" t="s">
        <v>28</v>
      </c>
      <c r="C297" t="str">
        <f t="shared" si="13"/>
        <v>IPL-2012</v>
      </c>
      <c r="D297">
        <f t="shared" si="14"/>
        <v>2012</v>
      </c>
      <c r="E297" s="1">
        <v>41035</v>
      </c>
      <c r="F297" t="s">
        <v>10</v>
      </c>
      <c r="G297" t="s">
        <v>12</v>
      </c>
      <c r="H297" t="str">
        <f t="shared" si="12"/>
        <v>WIN</v>
      </c>
      <c r="I297" t="s">
        <v>10</v>
      </c>
      <c r="J297" t="s">
        <v>79</v>
      </c>
      <c r="K297" t="s">
        <v>14</v>
      </c>
    </row>
    <row r="298" spans="1:11" x14ac:dyDescent="0.3">
      <c r="A298" t="s">
        <v>21</v>
      </c>
      <c r="B298" t="s">
        <v>11</v>
      </c>
      <c r="C298" t="str">
        <f t="shared" si="13"/>
        <v>IPL-2012</v>
      </c>
      <c r="D298">
        <f t="shared" si="14"/>
        <v>2012</v>
      </c>
      <c r="E298" s="1">
        <v>41036</v>
      </c>
      <c r="F298" t="s">
        <v>21</v>
      </c>
      <c r="G298" t="s">
        <v>18</v>
      </c>
      <c r="H298" t="str">
        <f t="shared" si="12"/>
        <v>LOSS</v>
      </c>
      <c r="I298" t="s">
        <v>11</v>
      </c>
      <c r="J298" t="s">
        <v>91</v>
      </c>
      <c r="K298" t="s">
        <v>24</v>
      </c>
    </row>
    <row r="299" spans="1:11" x14ac:dyDescent="0.3">
      <c r="A299" t="s">
        <v>144</v>
      </c>
      <c r="B299" t="s">
        <v>22</v>
      </c>
      <c r="C299" t="str">
        <f t="shared" si="13"/>
        <v>IPL-2012</v>
      </c>
      <c r="D299">
        <f t="shared" si="14"/>
        <v>2012</v>
      </c>
      <c r="E299" s="1">
        <v>41037</v>
      </c>
      <c r="F299" t="s">
        <v>144</v>
      </c>
      <c r="G299" t="s">
        <v>18</v>
      </c>
      <c r="H299" t="str">
        <f t="shared" si="12"/>
        <v>LOSS</v>
      </c>
      <c r="I299" t="s">
        <v>22</v>
      </c>
      <c r="J299" t="s">
        <v>31</v>
      </c>
      <c r="K299" t="s">
        <v>170</v>
      </c>
    </row>
    <row r="300" spans="1:11" x14ac:dyDescent="0.3">
      <c r="A300" t="s">
        <v>28</v>
      </c>
      <c r="B300" t="s">
        <v>16</v>
      </c>
      <c r="C300" t="str">
        <f t="shared" si="13"/>
        <v>IPL-2012</v>
      </c>
      <c r="D300">
        <f t="shared" si="14"/>
        <v>2012</v>
      </c>
      <c r="E300" s="1">
        <v>41037</v>
      </c>
      <c r="F300" t="s">
        <v>28</v>
      </c>
      <c r="G300" t="s">
        <v>12</v>
      </c>
      <c r="H300" t="str">
        <f t="shared" si="12"/>
        <v>LOSS</v>
      </c>
      <c r="I300" t="s">
        <v>16</v>
      </c>
      <c r="J300" t="s">
        <v>180</v>
      </c>
      <c r="K300" t="s">
        <v>34</v>
      </c>
    </row>
    <row r="301" spans="1:11" x14ac:dyDescent="0.3">
      <c r="A301" t="s">
        <v>25</v>
      </c>
      <c r="B301" t="s">
        <v>10</v>
      </c>
      <c r="C301" t="str">
        <f t="shared" si="13"/>
        <v>IPL-2012</v>
      </c>
      <c r="D301">
        <f t="shared" si="14"/>
        <v>2012</v>
      </c>
      <c r="E301" s="1">
        <v>41038</v>
      </c>
      <c r="F301" t="s">
        <v>10</v>
      </c>
      <c r="G301" t="s">
        <v>12</v>
      </c>
      <c r="H301" t="str">
        <f t="shared" si="12"/>
        <v>WIN</v>
      </c>
      <c r="I301" t="s">
        <v>10</v>
      </c>
      <c r="J301" t="s">
        <v>77</v>
      </c>
      <c r="K301" t="s">
        <v>27</v>
      </c>
    </row>
    <row r="302" spans="1:11" x14ac:dyDescent="0.3">
      <c r="A302" t="s">
        <v>22</v>
      </c>
      <c r="B302" t="s">
        <v>17</v>
      </c>
      <c r="C302" t="str">
        <f t="shared" si="13"/>
        <v>IPL-2012</v>
      </c>
      <c r="D302">
        <f t="shared" si="14"/>
        <v>2012</v>
      </c>
      <c r="E302" s="1">
        <v>41039</v>
      </c>
      <c r="F302" t="s">
        <v>17</v>
      </c>
      <c r="G302" t="s">
        <v>12</v>
      </c>
      <c r="H302" t="str">
        <f t="shared" si="12"/>
        <v>WIN</v>
      </c>
      <c r="I302" t="s">
        <v>17</v>
      </c>
      <c r="J302" t="s">
        <v>183</v>
      </c>
      <c r="K302" t="s">
        <v>32</v>
      </c>
    </row>
    <row r="303" spans="1:11" x14ac:dyDescent="0.3">
      <c r="A303" t="s">
        <v>28</v>
      </c>
      <c r="B303" t="s">
        <v>21</v>
      </c>
      <c r="C303" t="str">
        <f t="shared" si="13"/>
        <v>IPL-2012</v>
      </c>
      <c r="D303">
        <f t="shared" si="14"/>
        <v>2012</v>
      </c>
      <c r="E303" s="1">
        <v>41039</v>
      </c>
      <c r="F303" t="s">
        <v>28</v>
      </c>
      <c r="G303" t="s">
        <v>18</v>
      </c>
      <c r="H303" t="str">
        <f t="shared" si="12"/>
        <v>LOSS</v>
      </c>
      <c r="I303" t="s">
        <v>21</v>
      </c>
      <c r="J303" t="s">
        <v>121</v>
      </c>
      <c r="K303" t="s">
        <v>34</v>
      </c>
    </row>
    <row r="304" spans="1:11" x14ac:dyDescent="0.3">
      <c r="A304" t="s">
        <v>144</v>
      </c>
      <c r="B304" t="s">
        <v>10</v>
      </c>
      <c r="C304" t="str">
        <f t="shared" si="13"/>
        <v>IPL-2012</v>
      </c>
      <c r="D304">
        <f t="shared" si="14"/>
        <v>2012</v>
      </c>
      <c r="E304" s="1">
        <v>41040</v>
      </c>
      <c r="F304" t="s">
        <v>144</v>
      </c>
      <c r="G304" t="s">
        <v>12</v>
      </c>
      <c r="H304" t="str">
        <f t="shared" si="12"/>
        <v>LOSS</v>
      </c>
      <c r="I304" t="s">
        <v>10</v>
      </c>
      <c r="J304" t="s">
        <v>77</v>
      </c>
      <c r="K304" t="s">
        <v>170</v>
      </c>
    </row>
    <row r="305" spans="1:11" x14ac:dyDescent="0.3">
      <c r="A305" t="s">
        <v>17</v>
      </c>
      <c r="B305" t="s">
        <v>21</v>
      </c>
      <c r="C305" t="str">
        <f t="shared" si="13"/>
        <v>IPL-2012</v>
      </c>
      <c r="D305">
        <f t="shared" si="14"/>
        <v>2012</v>
      </c>
      <c r="E305" s="1">
        <v>41041</v>
      </c>
      <c r="F305" t="s">
        <v>17</v>
      </c>
      <c r="G305" t="s">
        <v>12</v>
      </c>
      <c r="H305" t="str">
        <f t="shared" si="12"/>
        <v>WIN</v>
      </c>
      <c r="I305" t="s">
        <v>17</v>
      </c>
      <c r="J305" t="s">
        <v>183</v>
      </c>
      <c r="K305" t="s">
        <v>36</v>
      </c>
    </row>
    <row r="306" spans="1:11" x14ac:dyDescent="0.3">
      <c r="A306" t="s">
        <v>11</v>
      </c>
      <c r="B306" t="s">
        <v>25</v>
      </c>
      <c r="C306" t="str">
        <f t="shared" si="13"/>
        <v>IPL-2012</v>
      </c>
      <c r="D306">
        <f t="shared" si="14"/>
        <v>2012</v>
      </c>
      <c r="E306" s="1">
        <v>41041</v>
      </c>
      <c r="F306" t="s">
        <v>25</v>
      </c>
      <c r="G306" t="s">
        <v>18</v>
      </c>
      <c r="H306" t="str">
        <f t="shared" si="12"/>
        <v>WIN</v>
      </c>
      <c r="I306" t="s">
        <v>25</v>
      </c>
      <c r="J306" t="s">
        <v>93</v>
      </c>
      <c r="K306" t="s">
        <v>30</v>
      </c>
    </row>
    <row r="307" spans="1:11" x14ac:dyDescent="0.3">
      <c r="A307" t="s">
        <v>22</v>
      </c>
      <c r="B307" t="s">
        <v>144</v>
      </c>
      <c r="C307" t="str">
        <f t="shared" si="13"/>
        <v>IPL-2012</v>
      </c>
      <c r="D307">
        <f t="shared" si="14"/>
        <v>2012</v>
      </c>
      <c r="E307" s="1">
        <v>41042</v>
      </c>
      <c r="F307" t="s">
        <v>22</v>
      </c>
      <c r="G307" t="s">
        <v>18</v>
      </c>
      <c r="H307" t="str">
        <f t="shared" si="12"/>
        <v>WIN</v>
      </c>
      <c r="I307" t="s">
        <v>22</v>
      </c>
      <c r="J307" t="s">
        <v>184</v>
      </c>
      <c r="K307" t="s">
        <v>32</v>
      </c>
    </row>
    <row r="308" spans="1:11" x14ac:dyDescent="0.3">
      <c r="A308" t="s">
        <v>16</v>
      </c>
      <c r="B308" t="s">
        <v>28</v>
      </c>
      <c r="C308" t="str">
        <f t="shared" si="13"/>
        <v>IPL-2012</v>
      </c>
      <c r="D308">
        <f t="shared" si="14"/>
        <v>2012</v>
      </c>
      <c r="E308" s="1">
        <v>41042</v>
      </c>
      <c r="F308" t="s">
        <v>28</v>
      </c>
      <c r="G308" t="s">
        <v>18</v>
      </c>
      <c r="H308" t="str">
        <f t="shared" si="12"/>
        <v>LOSS</v>
      </c>
      <c r="I308" t="s">
        <v>16</v>
      </c>
      <c r="J308" t="s">
        <v>29</v>
      </c>
      <c r="K308" t="s">
        <v>20</v>
      </c>
    </row>
    <row r="309" spans="1:11" x14ac:dyDescent="0.3">
      <c r="A309" t="s">
        <v>11</v>
      </c>
      <c r="B309" t="s">
        <v>17</v>
      </c>
      <c r="C309" t="str">
        <f t="shared" si="13"/>
        <v>IPL-2012</v>
      </c>
      <c r="D309">
        <f t="shared" si="14"/>
        <v>2012</v>
      </c>
      <c r="E309" s="1">
        <v>41043</v>
      </c>
      <c r="F309" t="s">
        <v>17</v>
      </c>
      <c r="G309" t="s">
        <v>12</v>
      </c>
      <c r="H309" t="str">
        <f t="shared" si="12"/>
        <v>WIN</v>
      </c>
      <c r="I309" t="s">
        <v>17</v>
      </c>
      <c r="J309" t="s">
        <v>19</v>
      </c>
      <c r="K309" t="s">
        <v>30</v>
      </c>
    </row>
    <row r="310" spans="1:11" x14ac:dyDescent="0.3">
      <c r="A310" t="s">
        <v>10</v>
      </c>
      <c r="B310" t="s">
        <v>25</v>
      </c>
      <c r="C310" t="str">
        <f t="shared" si="13"/>
        <v>IPL-2012</v>
      </c>
      <c r="D310">
        <f t="shared" si="14"/>
        <v>2012</v>
      </c>
      <c r="E310" s="1">
        <v>41043</v>
      </c>
      <c r="F310" t="s">
        <v>25</v>
      </c>
      <c r="G310" t="s">
        <v>12</v>
      </c>
      <c r="H310" t="str">
        <f t="shared" si="12"/>
        <v>WIN</v>
      </c>
      <c r="I310" t="s">
        <v>25</v>
      </c>
      <c r="J310" t="s">
        <v>125</v>
      </c>
      <c r="K310" t="s">
        <v>14</v>
      </c>
    </row>
    <row r="311" spans="1:11" x14ac:dyDescent="0.3">
      <c r="A311" t="s">
        <v>21</v>
      </c>
      <c r="B311" t="s">
        <v>16</v>
      </c>
      <c r="C311" t="str">
        <f t="shared" si="13"/>
        <v>IPL-2012</v>
      </c>
      <c r="D311">
        <f t="shared" si="14"/>
        <v>2012</v>
      </c>
      <c r="E311" s="1">
        <v>41044</v>
      </c>
      <c r="F311" t="s">
        <v>16</v>
      </c>
      <c r="G311" t="s">
        <v>18</v>
      </c>
      <c r="H311" t="str">
        <f t="shared" si="12"/>
        <v>LOSS</v>
      </c>
      <c r="I311" t="s">
        <v>21</v>
      </c>
      <c r="J311" t="s">
        <v>185</v>
      </c>
      <c r="K311" t="s">
        <v>24</v>
      </c>
    </row>
    <row r="312" spans="1:11" x14ac:dyDescent="0.3">
      <c r="A312" t="s">
        <v>25</v>
      </c>
      <c r="B312" t="s">
        <v>11</v>
      </c>
      <c r="C312" t="str">
        <f t="shared" si="13"/>
        <v>IPL-2012</v>
      </c>
      <c r="D312">
        <f t="shared" si="14"/>
        <v>2012</v>
      </c>
      <c r="E312" s="1">
        <v>41045</v>
      </c>
      <c r="F312" t="s">
        <v>25</v>
      </c>
      <c r="G312" t="s">
        <v>12</v>
      </c>
      <c r="H312" t="str">
        <f t="shared" si="12"/>
        <v>LOSS</v>
      </c>
      <c r="I312" t="s">
        <v>11</v>
      </c>
      <c r="J312" t="s">
        <v>176</v>
      </c>
      <c r="K312" t="s">
        <v>27</v>
      </c>
    </row>
    <row r="313" spans="1:11" x14ac:dyDescent="0.3">
      <c r="A313" t="s">
        <v>21</v>
      </c>
      <c r="B313" t="s">
        <v>10</v>
      </c>
      <c r="C313" t="str">
        <f t="shared" si="13"/>
        <v>IPL-2012</v>
      </c>
      <c r="D313">
        <f t="shared" si="14"/>
        <v>2012</v>
      </c>
      <c r="E313" s="1">
        <v>41046</v>
      </c>
      <c r="F313" t="s">
        <v>21</v>
      </c>
      <c r="G313" t="s">
        <v>12</v>
      </c>
      <c r="H313" t="str">
        <f t="shared" si="12"/>
        <v>LOSS</v>
      </c>
      <c r="I313" t="s">
        <v>10</v>
      </c>
      <c r="J313" t="s">
        <v>77</v>
      </c>
      <c r="K313" t="s">
        <v>24</v>
      </c>
    </row>
    <row r="314" spans="1:11" x14ac:dyDescent="0.3">
      <c r="A314" t="s">
        <v>16</v>
      </c>
      <c r="B314" t="s">
        <v>17</v>
      </c>
      <c r="C314" t="str">
        <f t="shared" si="13"/>
        <v>IPL-2012</v>
      </c>
      <c r="D314">
        <f t="shared" si="14"/>
        <v>2012</v>
      </c>
      <c r="E314" s="1">
        <v>41046</v>
      </c>
      <c r="F314" t="s">
        <v>16</v>
      </c>
      <c r="G314" t="s">
        <v>12</v>
      </c>
      <c r="H314" t="str">
        <f t="shared" si="12"/>
        <v>WIN</v>
      </c>
      <c r="I314" t="s">
        <v>16</v>
      </c>
      <c r="J314" t="s">
        <v>40</v>
      </c>
      <c r="K314" t="s">
        <v>135</v>
      </c>
    </row>
    <row r="315" spans="1:11" x14ac:dyDescent="0.3">
      <c r="A315" t="s">
        <v>28</v>
      </c>
      <c r="B315" t="s">
        <v>22</v>
      </c>
      <c r="C315" t="str">
        <f t="shared" si="13"/>
        <v>IPL-2012</v>
      </c>
      <c r="D315">
        <f t="shared" si="14"/>
        <v>2012</v>
      </c>
      <c r="E315" s="1">
        <v>41047</v>
      </c>
      <c r="F315" t="s">
        <v>22</v>
      </c>
      <c r="G315" t="s">
        <v>18</v>
      </c>
      <c r="H315" t="str">
        <f t="shared" si="12"/>
        <v>LOSS</v>
      </c>
      <c r="I315" t="s">
        <v>28</v>
      </c>
      <c r="J315" t="s">
        <v>148</v>
      </c>
      <c r="K315" t="s">
        <v>34</v>
      </c>
    </row>
    <row r="316" spans="1:11" x14ac:dyDescent="0.3">
      <c r="A316" t="s">
        <v>16</v>
      </c>
      <c r="B316" t="s">
        <v>21</v>
      </c>
      <c r="C316" t="str">
        <f t="shared" si="13"/>
        <v>IPL-2012</v>
      </c>
      <c r="D316">
        <f t="shared" si="14"/>
        <v>2012</v>
      </c>
      <c r="E316" s="1">
        <v>41048</v>
      </c>
      <c r="F316" t="s">
        <v>21</v>
      </c>
      <c r="G316" t="s">
        <v>12</v>
      </c>
      <c r="H316" t="str">
        <f t="shared" si="12"/>
        <v>WIN</v>
      </c>
      <c r="I316" t="s">
        <v>21</v>
      </c>
      <c r="J316" t="s">
        <v>185</v>
      </c>
      <c r="K316" t="s">
        <v>135</v>
      </c>
    </row>
    <row r="317" spans="1:11" x14ac:dyDescent="0.3">
      <c r="A317" t="s">
        <v>144</v>
      </c>
      <c r="B317" t="s">
        <v>11</v>
      </c>
      <c r="C317" t="str">
        <f t="shared" si="13"/>
        <v>IPL-2012</v>
      </c>
      <c r="D317">
        <f t="shared" si="14"/>
        <v>2012</v>
      </c>
      <c r="E317" s="1">
        <v>41048</v>
      </c>
      <c r="F317" t="s">
        <v>11</v>
      </c>
      <c r="G317" t="s">
        <v>18</v>
      </c>
      <c r="H317" t="str">
        <f t="shared" si="12"/>
        <v>WIN</v>
      </c>
      <c r="I317" t="s">
        <v>11</v>
      </c>
      <c r="J317" t="s">
        <v>174</v>
      </c>
      <c r="K317" t="s">
        <v>170</v>
      </c>
    </row>
    <row r="318" spans="1:11" x14ac:dyDescent="0.3">
      <c r="A318" t="s">
        <v>22</v>
      </c>
      <c r="B318" t="s">
        <v>25</v>
      </c>
      <c r="C318" t="str">
        <f t="shared" si="13"/>
        <v>IPL-2012</v>
      </c>
      <c r="D318">
        <f t="shared" si="14"/>
        <v>2012</v>
      </c>
      <c r="E318" s="1">
        <v>41049</v>
      </c>
      <c r="F318" t="s">
        <v>22</v>
      </c>
      <c r="G318" t="s">
        <v>18</v>
      </c>
      <c r="H318" t="str">
        <f t="shared" si="12"/>
        <v>LOSS</v>
      </c>
      <c r="I318" t="s">
        <v>25</v>
      </c>
      <c r="J318" t="s">
        <v>97</v>
      </c>
      <c r="K318" t="s">
        <v>32</v>
      </c>
    </row>
    <row r="319" spans="1:11" x14ac:dyDescent="0.3">
      <c r="A319" t="s">
        <v>28</v>
      </c>
      <c r="B319" t="s">
        <v>10</v>
      </c>
      <c r="C319" t="str">
        <f t="shared" si="13"/>
        <v>IPL-2012</v>
      </c>
      <c r="D319">
        <f t="shared" si="14"/>
        <v>2012</v>
      </c>
      <c r="E319" s="1">
        <v>41049</v>
      </c>
      <c r="F319" t="s">
        <v>10</v>
      </c>
      <c r="G319" t="s">
        <v>12</v>
      </c>
      <c r="H319" t="str">
        <f t="shared" si="12"/>
        <v>LOSS</v>
      </c>
      <c r="I319" t="s">
        <v>28</v>
      </c>
      <c r="J319" t="s">
        <v>148</v>
      </c>
      <c r="K319" t="s">
        <v>34</v>
      </c>
    </row>
    <row r="320" spans="1:11" x14ac:dyDescent="0.3">
      <c r="A320" t="s">
        <v>21</v>
      </c>
      <c r="B320" t="s">
        <v>11</v>
      </c>
      <c r="C320" t="str">
        <f t="shared" si="13"/>
        <v>IPL-2012</v>
      </c>
      <c r="D320">
        <f t="shared" si="14"/>
        <v>2012</v>
      </c>
      <c r="E320" s="1">
        <v>41051</v>
      </c>
      <c r="F320" t="s">
        <v>11</v>
      </c>
      <c r="G320" t="s">
        <v>18</v>
      </c>
      <c r="H320" t="str">
        <f t="shared" si="12"/>
        <v>WIN</v>
      </c>
      <c r="I320" t="s">
        <v>11</v>
      </c>
      <c r="J320" t="s">
        <v>37</v>
      </c>
      <c r="K320" t="s">
        <v>170</v>
      </c>
    </row>
    <row r="321" spans="1:11" x14ac:dyDescent="0.3">
      <c r="A321" t="s">
        <v>17</v>
      </c>
      <c r="B321" t="s">
        <v>25</v>
      </c>
      <c r="C321" t="str">
        <f t="shared" si="13"/>
        <v>IPL-2012</v>
      </c>
      <c r="D321">
        <f t="shared" si="14"/>
        <v>2012</v>
      </c>
      <c r="E321" s="1">
        <v>41052</v>
      </c>
      <c r="F321" t="s">
        <v>25</v>
      </c>
      <c r="G321" t="s">
        <v>12</v>
      </c>
      <c r="H321" t="str">
        <f t="shared" si="12"/>
        <v>LOSS</v>
      </c>
      <c r="I321" t="s">
        <v>17</v>
      </c>
      <c r="J321" t="s">
        <v>43</v>
      </c>
      <c r="K321" t="s">
        <v>14</v>
      </c>
    </row>
    <row r="322" spans="1:11" x14ac:dyDescent="0.3">
      <c r="A322" t="s">
        <v>21</v>
      </c>
      <c r="B322" t="s">
        <v>17</v>
      </c>
      <c r="C322" t="str">
        <f t="shared" si="13"/>
        <v>IPL-2012</v>
      </c>
      <c r="D322">
        <f t="shared" si="14"/>
        <v>2012</v>
      </c>
      <c r="E322" s="1">
        <v>41054</v>
      </c>
      <c r="F322" t="s">
        <v>21</v>
      </c>
      <c r="G322" t="s">
        <v>12</v>
      </c>
      <c r="H322" t="str">
        <f t="shared" ref="H322:H385" si="15">IF(F322=I322,"WIN","LOSS")</f>
        <v>LOSS</v>
      </c>
      <c r="I322" t="s">
        <v>17</v>
      </c>
      <c r="J322" t="s">
        <v>123</v>
      </c>
      <c r="K322" t="s">
        <v>36</v>
      </c>
    </row>
    <row r="323" spans="1:11" x14ac:dyDescent="0.3">
      <c r="A323" t="s">
        <v>11</v>
      </c>
      <c r="B323" t="s">
        <v>17</v>
      </c>
      <c r="C323" t="str">
        <f t="shared" ref="C323:C386" si="16">_xlfn.CONCAT("IPL-",D323)</f>
        <v>IPL-2012</v>
      </c>
      <c r="D323">
        <f t="shared" ref="D323:D386" si="17">YEAR(E323)</f>
        <v>2012</v>
      </c>
      <c r="E323" s="1">
        <v>41056</v>
      </c>
      <c r="F323" t="s">
        <v>17</v>
      </c>
      <c r="G323" t="s">
        <v>18</v>
      </c>
      <c r="H323" t="str">
        <f t="shared" si="15"/>
        <v>LOSS</v>
      </c>
      <c r="I323" t="s">
        <v>11</v>
      </c>
      <c r="J323" t="s">
        <v>186</v>
      </c>
      <c r="K323" t="s">
        <v>36</v>
      </c>
    </row>
    <row r="324" spans="1:11" x14ac:dyDescent="0.3">
      <c r="A324" t="s">
        <v>11</v>
      </c>
      <c r="B324" t="s">
        <v>21</v>
      </c>
      <c r="C324" t="str">
        <f t="shared" si="16"/>
        <v>IPL-2013</v>
      </c>
      <c r="D324">
        <f t="shared" si="17"/>
        <v>2013</v>
      </c>
      <c r="E324" s="1">
        <v>41367</v>
      </c>
      <c r="F324" t="s">
        <v>11</v>
      </c>
      <c r="G324" t="s">
        <v>12</v>
      </c>
      <c r="H324" t="str">
        <f t="shared" si="15"/>
        <v>WIN</v>
      </c>
      <c r="I324" t="s">
        <v>11</v>
      </c>
      <c r="J324" t="s">
        <v>176</v>
      </c>
      <c r="K324" t="s">
        <v>30</v>
      </c>
    </row>
    <row r="325" spans="1:11" x14ac:dyDescent="0.3">
      <c r="A325" t="s">
        <v>10</v>
      </c>
      <c r="B325" t="s">
        <v>25</v>
      </c>
      <c r="C325" t="str">
        <f t="shared" si="16"/>
        <v>IPL-2013</v>
      </c>
      <c r="D325">
        <f t="shared" si="17"/>
        <v>2013</v>
      </c>
      <c r="E325" s="1">
        <v>41368</v>
      </c>
      <c r="F325" t="s">
        <v>25</v>
      </c>
      <c r="G325" t="s">
        <v>12</v>
      </c>
      <c r="H325" t="str">
        <f t="shared" si="15"/>
        <v>LOSS</v>
      </c>
      <c r="I325" t="s">
        <v>10</v>
      </c>
      <c r="J325" t="s">
        <v>77</v>
      </c>
      <c r="K325" t="s">
        <v>14</v>
      </c>
    </row>
    <row r="326" spans="1:11" x14ac:dyDescent="0.3">
      <c r="A326" t="s">
        <v>187</v>
      </c>
      <c r="B326" t="s">
        <v>144</v>
      </c>
      <c r="C326" t="str">
        <f t="shared" si="16"/>
        <v>IPL-2013</v>
      </c>
      <c r="D326">
        <f t="shared" si="17"/>
        <v>2013</v>
      </c>
      <c r="E326" s="1">
        <v>41369</v>
      </c>
      <c r="F326" t="s">
        <v>144</v>
      </c>
      <c r="G326" t="s">
        <v>12</v>
      </c>
      <c r="H326" t="str">
        <f t="shared" si="15"/>
        <v>LOSS</v>
      </c>
      <c r="I326" t="s">
        <v>187</v>
      </c>
      <c r="J326" t="s">
        <v>57</v>
      </c>
      <c r="K326" t="s">
        <v>34</v>
      </c>
    </row>
    <row r="327" spans="1:11" x14ac:dyDescent="0.3">
      <c r="A327" t="s">
        <v>17</v>
      </c>
      <c r="B327" t="s">
        <v>25</v>
      </c>
      <c r="C327" t="str">
        <f t="shared" si="16"/>
        <v>IPL-2013</v>
      </c>
      <c r="D327">
        <f t="shared" si="17"/>
        <v>2013</v>
      </c>
      <c r="E327" s="1">
        <v>41370</v>
      </c>
      <c r="F327" t="s">
        <v>25</v>
      </c>
      <c r="G327" t="s">
        <v>18</v>
      </c>
      <c r="H327" t="str">
        <f t="shared" si="15"/>
        <v>WIN</v>
      </c>
      <c r="I327" t="s">
        <v>25</v>
      </c>
      <c r="J327" t="s">
        <v>134</v>
      </c>
      <c r="K327" t="s">
        <v>36</v>
      </c>
    </row>
    <row r="328" spans="1:11" x14ac:dyDescent="0.3">
      <c r="A328" t="s">
        <v>21</v>
      </c>
      <c r="B328" t="s">
        <v>22</v>
      </c>
      <c r="C328" t="str">
        <f t="shared" si="16"/>
        <v>IPL-2013</v>
      </c>
      <c r="D328">
        <f t="shared" si="17"/>
        <v>2013</v>
      </c>
      <c r="E328" s="1">
        <v>41370</v>
      </c>
      <c r="F328" t="s">
        <v>22</v>
      </c>
      <c r="G328" t="s">
        <v>18</v>
      </c>
      <c r="H328" t="str">
        <f t="shared" si="15"/>
        <v>WIN</v>
      </c>
      <c r="I328" t="s">
        <v>22</v>
      </c>
      <c r="J328" t="s">
        <v>70</v>
      </c>
      <c r="K328" t="s">
        <v>24</v>
      </c>
    </row>
    <row r="329" spans="1:11" x14ac:dyDescent="0.3">
      <c r="A329" t="s">
        <v>187</v>
      </c>
      <c r="B329" t="s">
        <v>10</v>
      </c>
      <c r="C329" t="str">
        <f t="shared" si="16"/>
        <v>IPL-2013</v>
      </c>
      <c r="D329">
        <f t="shared" si="17"/>
        <v>2013</v>
      </c>
      <c r="E329" s="1">
        <v>41371</v>
      </c>
      <c r="F329" t="s">
        <v>10</v>
      </c>
      <c r="G329" t="s">
        <v>18</v>
      </c>
      <c r="H329" t="str">
        <f t="shared" si="15"/>
        <v>LOSS</v>
      </c>
      <c r="J329" t="s">
        <v>188</v>
      </c>
      <c r="K329" t="s">
        <v>34</v>
      </c>
    </row>
    <row r="330" spans="1:11" x14ac:dyDescent="0.3">
      <c r="A330" t="s">
        <v>144</v>
      </c>
      <c r="B330" t="s">
        <v>16</v>
      </c>
      <c r="C330" t="str">
        <f t="shared" si="16"/>
        <v>IPL-2013</v>
      </c>
      <c r="D330">
        <f t="shared" si="17"/>
        <v>2013</v>
      </c>
      <c r="E330" s="1">
        <v>41371</v>
      </c>
      <c r="F330" t="s">
        <v>144</v>
      </c>
      <c r="G330" t="s">
        <v>18</v>
      </c>
      <c r="H330" t="str">
        <f t="shared" si="15"/>
        <v>LOSS</v>
      </c>
      <c r="I330" t="s">
        <v>16</v>
      </c>
      <c r="J330" t="s">
        <v>189</v>
      </c>
      <c r="K330" t="s">
        <v>170</v>
      </c>
    </row>
    <row r="331" spans="1:11" x14ac:dyDescent="0.3">
      <c r="A331" t="s">
        <v>22</v>
      </c>
      <c r="B331" t="s">
        <v>11</v>
      </c>
      <c r="C331" t="str">
        <f t="shared" si="16"/>
        <v>IPL-2013</v>
      </c>
      <c r="D331">
        <f t="shared" si="17"/>
        <v>2013</v>
      </c>
      <c r="E331" s="1">
        <v>41372</v>
      </c>
      <c r="F331" t="s">
        <v>11</v>
      </c>
      <c r="G331" t="s">
        <v>12</v>
      </c>
      <c r="H331" t="str">
        <f t="shared" si="15"/>
        <v>LOSS</v>
      </c>
      <c r="I331" t="s">
        <v>22</v>
      </c>
      <c r="J331" t="s">
        <v>141</v>
      </c>
      <c r="K331" t="s">
        <v>32</v>
      </c>
    </row>
    <row r="332" spans="1:11" x14ac:dyDescent="0.3">
      <c r="A332" t="s">
        <v>25</v>
      </c>
      <c r="B332" t="s">
        <v>21</v>
      </c>
      <c r="C332" t="str">
        <f t="shared" si="16"/>
        <v>IPL-2013</v>
      </c>
      <c r="D332">
        <f t="shared" si="17"/>
        <v>2013</v>
      </c>
      <c r="E332" s="1">
        <v>41373</v>
      </c>
      <c r="F332" t="s">
        <v>25</v>
      </c>
      <c r="G332" t="s">
        <v>18</v>
      </c>
      <c r="H332" t="str">
        <f t="shared" si="15"/>
        <v>WIN</v>
      </c>
      <c r="I332" t="s">
        <v>25</v>
      </c>
      <c r="J332" t="s">
        <v>65</v>
      </c>
      <c r="K332" t="s">
        <v>27</v>
      </c>
    </row>
    <row r="333" spans="1:11" x14ac:dyDescent="0.3">
      <c r="A333" t="s">
        <v>10</v>
      </c>
      <c r="B333" t="s">
        <v>187</v>
      </c>
      <c r="C333" t="str">
        <f t="shared" si="16"/>
        <v>IPL-2013</v>
      </c>
      <c r="D333">
        <f t="shared" si="17"/>
        <v>2013</v>
      </c>
      <c r="E333" s="1">
        <v>41373</v>
      </c>
      <c r="F333" t="s">
        <v>187</v>
      </c>
      <c r="G333" t="s">
        <v>18</v>
      </c>
      <c r="H333" t="str">
        <f t="shared" si="15"/>
        <v>LOSS</v>
      </c>
      <c r="I333" t="s">
        <v>10</v>
      </c>
      <c r="J333" t="s">
        <v>151</v>
      </c>
      <c r="K333" t="s">
        <v>14</v>
      </c>
    </row>
    <row r="334" spans="1:11" x14ac:dyDescent="0.3">
      <c r="A334" t="s">
        <v>16</v>
      </c>
      <c r="B334" t="s">
        <v>17</v>
      </c>
      <c r="C334" t="str">
        <f t="shared" si="16"/>
        <v>IPL-2013</v>
      </c>
      <c r="D334">
        <f t="shared" si="17"/>
        <v>2013</v>
      </c>
      <c r="E334" s="1">
        <v>41374</v>
      </c>
      <c r="F334" t="s">
        <v>17</v>
      </c>
      <c r="G334" t="s">
        <v>12</v>
      </c>
      <c r="H334" t="str">
        <f t="shared" si="15"/>
        <v>WIN</v>
      </c>
      <c r="I334" t="s">
        <v>17</v>
      </c>
      <c r="J334" t="s">
        <v>19</v>
      </c>
      <c r="K334" t="s">
        <v>20</v>
      </c>
    </row>
    <row r="335" spans="1:11" x14ac:dyDescent="0.3">
      <c r="A335" t="s">
        <v>10</v>
      </c>
      <c r="B335" t="s">
        <v>11</v>
      </c>
      <c r="C335" t="str">
        <f t="shared" si="16"/>
        <v>IPL-2013</v>
      </c>
      <c r="D335">
        <f t="shared" si="17"/>
        <v>2013</v>
      </c>
      <c r="E335" s="1">
        <v>41375</v>
      </c>
      <c r="F335" t="s">
        <v>10</v>
      </c>
      <c r="G335" t="s">
        <v>12</v>
      </c>
      <c r="H335" t="str">
        <f t="shared" si="15"/>
        <v>WIN</v>
      </c>
      <c r="I335" t="s">
        <v>10</v>
      </c>
      <c r="J335" t="s">
        <v>77</v>
      </c>
      <c r="K335" t="s">
        <v>14</v>
      </c>
    </row>
    <row r="336" spans="1:11" x14ac:dyDescent="0.3">
      <c r="A336" t="s">
        <v>144</v>
      </c>
      <c r="B336" t="s">
        <v>22</v>
      </c>
      <c r="C336" t="str">
        <f t="shared" si="16"/>
        <v>IPL-2013</v>
      </c>
      <c r="D336">
        <f t="shared" si="17"/>
        <v>2013</v>
      </c>
      <c r="E336" s="1">
        <v>41375</v>
      </c>
      <c r="F336" t="s">
        <v>22</v>
      </c>
      <c r="G336" t="s">
        <v>18</v>
      </c>
      <c r="H336" t="str">
        <f t="shared" si="15"/>
        <v>LOSS</v>
      </c>
      <c r="I336" t="s">
        <v>144</v>
      </c>
      <c r="J336" t="s">
        <v>190</v>
      </c>
      <c r="K336" t="s">
        <v>170</v>
      </c>
    </row>
    <row r="337" spans="1:11" x14ac:dyDescent="0.3">
      <c r="A337" t="s">
        <v>21</v>
      </c>
      <c r="B337" t="s">
        <v>187</v>
      </c>
      <c r="C337" t="str">
        <f t="shared" si="16"/>
        <v>IPL-2013</v>
      </c>
      <c r="D337">
        <f t="shared" si="17"/>
        <v>2013</v>
      </c>
      <c r="E337" s="1">
        <v>41376</v>
      </c>
      <c r="F337" t="s">
        <v>21</v>
      </c>
      <c r="G337" t="s">
        <v>18</v>
      </c>
      <c r="H337" t="str">
        <f t="shared" si="15"/>
        <v>LOSS</v>
      </c>
      <c r="I337" t="s">
        <v>187</v>
      </c>
      <c r="J337" t="s">
        <v>57</v>
      </c>
      <c r="K337" t="s">
        <v>24</v>
      </c>
    </row>
    <row r="338" spans="1:11" x14ac:dyDescent="0.3">
      <c r="A338" t="s">
        <v>17</v>
      </c>
      <c r="B338" t="s">
        <v>10</v>
      </c>
      <c r="C338" t="str">
        <f t="shared" si="16"/>
        <v>IPL-2013</v>
      </c>
      <c r="D338">
        <f t="shared" si="17"/>
        <v>2013</v>
      </c>
      <c r="E338" s="1">
        <v>41377</v>
      </c>
      <c r="F338" t="s">
        <v>17</v>
      </c>
      <c r="G338" t="s">
        <v>12</v>
      </c>
      <c r="H338" t="str">
        <f t="shared" si="15"/>
        <v>WIN</v>
      </c>
      <c r="I338" t="s">
        <v>17</v>
      </c>
      <c r="J338" t="s">
        <v>167</v>
      </c>
      <c r="K338" t="s">
        <v>36</v>
      </c>
    </row>
    <row r="339" spans="1:11" x14ac:dyDescent="0.3">
      <c r="A339" t="s">
        <v>25</v>
      </c>
      <c r="B339" t="s">
        <v>144</v>
      </c>
      <c r="C339" t="str">
        <f t="shared" si="16"/>
        <v>IPL-2013</v>
      </c>
      <c r="D339">
        <f t="shared" si="17"/>
        <v>2013</v>
      </c>
      <c r="E339" s="1">
        <v>41377</v>
      </c>
      <c r="F339" t="s">
        <v>25</v>
      </c>
      <c r="G339" t="s">
        <v>18</v>
      </c>
      <c r="H339" t="str">
        <f t="shared" si="15"/>
        <v>WIN</v>
      </c>
      <c r="I339" t="s">
        <v>25</v>
      </c>
      <c r="J339" t="s">
        <v>93</v>
      </c>
      <c r="K339" t="s">
        <v>27</v>
      </c>
    </row>
    <row r="340" spans="1:11" x14ac:dyDescent="0.3">
      <c r="A340" t="s">
        <v>22</v>
      </c>
      <c r="B340" t="s">
        <v>16</v>
      </c>
      <c r="C340" t="str">
        <f t="shared" si="16"/>
        <v>IPL-2013</v>
      </c>
      <c r="D340">
        <f t="shared" si="17"/>
        <v>2013</v>
      </c>
      <c r="E340" s="1">
        <v>41378</v>
      </c>
      <c r="F340" t="s">
        <v>22</v>
      </c>
      <c r="G340" t="s">
        <v>12</v>
      </c>
      <c r="H340" t="str">
        <f t="shared" si="15"/>
        <v>WIN</v>
      </c>
      <c r="I340" t="s">
        <v>22</v>
      </c>
      <c r="J340" t="s">
        <v>191</v>
      </c>
      <c r="K340" t="s">
        <v>32</v>
      </c>
    </row>
    <row r="341" spans="1:11" x14ac:dyDescent="0.3">
      <c r="A341" t="s">
        <v>11</v>
      </c>
      <c r="B341" t="s">
        <v>187</v>
      </c>
      <c r="C341" t="str">
        <f t="shared" si="16"/>
        <v>IPL-2013</v>
      </c>
      <c r="D341">
        <f t="shared" si="17"/>
        <v>2013</v>
      </c>
      <c r="E341" s="1">
        <v>41378</v>
      </c>
      <c r="F341" t="s">
        <v>11</v>
      </c>
      <c r="G341" t="s">
        <v>18</v>
      </c>
      <c r="H341" t="str">
        <f t="shared" si="15"/>
        <v>WIN</v>
      </c>
      <c r="I341" t="s">
        <v>11</v>
      </c>
      <c r="J341" t="s">
        <v>92</v>
      </c>
      <c r="K341" t="s">
        <v>30</v>
      </c>
    </row>
    <row r="342" spans="1:11" x14ac:dyDescent="0.3">
      <c r="A342" t="s">
        <v>17</v>
      </c>
      <c r="B342" t="s">
        <v>144</v>
      </c>
      <c r="C342" t="str">
        <f t="shared" si="16"/>
        <v>IPL-2013</v>
      </c>
      <c r="D342">
        <f t="shared" si="17"/>
        <v>2013</v>
      </c>
      <c r="E342" s="1">
        <v>41379</v>
      </c>
      <c r="F342" t="s">
        <v>144</v>
      </c>
      <c r="G342" t="s">
        <v>18</v>
      </c>
      <c r="H342" t="str">
        <f t="shared" si="15"/>
        <v>WIN</v>
      </c>
      <c r="I342" t="s">
        <v>144</v>
      </c>
      <c r="J342" t="s">
        <v>165</v>
      </c>
      <c r="K342" t="s">
        <v>36</v>
      </c>
    </row>
    <row r="343" spans="1:11" x14ac:dyDescent="0.3">
      <c r="A343" t="s">
        <v>16</v>
      </c>
      <c r="B343" t="s">
        <v>11</v>
      </c>
      <c r="C343" t="str">
        <f t="shared" si="16"/>
        <v>IPL-2013</v>
      </c>
      <c r="D343">
        <f t="shared" si="17"/>
        <v>2013</v>
      </c>
      <c r="E343" s="1">
        <v>41380</v>
      </c>
      <c r="F343" t="s">
        <v>11</v>
      </c>
      <c r="G343" t="s">
        <v>12</v>
      </c>
      <c r="H343" t="str">
        <f t="shared" si="15"/>
        <v>LOSS</v>
      </c>
      <c r="I343" t="s">
        <v>16</v>
      </c>
      <c r="J343" t="s">
        <v>192</v>
      </c>
      <c r="K343" t="s">
        <v>20</v>
      </c>
    </row>
    <row r="344" spans="1:11" x14ac:dyDescent="0.3">
      <c r="A344" t="s">
        <v>10</v>
      </c>
      <c r="B344" t="s">
        <v>21</v>
      </c>
      <c r="C344" t="str">
        <f t="shared" si="16"/>
        <v>IPL-2013</v>
      </c>
      <c r="D344">
        <f t="shared" si="17"/>
        <v>2013</v>
      </c>
      <c r="E344" s="1">
        <v>41380</v>
      </c>
      <c r="F344" t="s">
        <v>10</v>
      </c>
      <c r="G344" t="s">
        <v>12</v>
      </c>
      <c r="H344" t="str">
        <f t="shared" si="15"/>
        <v>LOSS</v>
      </c>
      <c r="J344" t="s">
        <v>151</v>
      </c>
      <c r="K344" t="s">
        <v>14</v>
      </c>
    </row>
    <row r="345" spans="1:11" x14ac:dyDescent="0.3">
      <c r="A345" t="s">
        <v>22</v>
      </c>
      <c r="B345" t="s">
        <v>25</v>
      </c>
      <c r="C345" t="str">
        <f t="shared" si="16"/>
        <v>IPL-2013</v>
      </c>
      <c r="D345">
        <f t="shared" si="17"/>
        <v>2013</v>
      </c>
      <c r="E345" s="1">
        <v>41381</v>
      </c>
      <c r="F345" t="s">
        <v>22</v>
      </c>
      <c r="G345" t="s">
        <v>18</v>
      </c>
      <c r="H345" t="str">
        <f t="shared" si="15"/>
        <v>WIN</v>
      </c>
      <c r="I345" t="s">
        <v>22</v>
      </c>
      <c r="J345" t="s">
        <v>166</v>
      </c>
      <c r="K345" t="s">
        <v>32</v>
      </c>
    </row>
    <row r="346" spans="1:11" x14ac:dyDescent="0.3">
      <c r="A346" t="s">
        <v>144</v>
      </c>
      <c r="B346" t="s">
        <v>187</v>
      </c>
      <c r="C346" t="str">
        <f t="shared" si="16"/>
        <v>IPL-2013</v>
      </c>
      <c r="D346">
        <f t="shared" si="17"/>
        <v>2013</v>
      </c>
      <c r="E346" s="1">
        <v>41381</v>
      </c>
      <c r="F346" t="s">
        <v>144</v>
      </c>
      <c r="G346" t="s">
        <v>12</v>
      </c>
      <c r="H346" t="str">
        <f t="shared" si="15"/>
        <v>LOSS</v>
      </c>
      <c r="I346" t="s">
        <v>187</v>
      </c>
      <c r="J346" t="s">
        <v>57</v>
      </c>
      <c r="K346" t="s">
        <v>193</v>
      </c>
    </row>
    <row r="347" spans="1:11" x14ac:dyDescent="0.3">
      <c r="A347" t="s">
        <v>21</v>
      </c>
      <c r="B347" t="s">
        <v>17</v>
      </c>
      <c r="C347" t="str">
        <f t="shared" si="16"/>
        <v>IPL-2013</v>
      </c>
      <c r="D347">
        <f t="shared" si="17"/>
        <v>2013</v>
      </c>
      <c r="E347" s="1">
        <v>41382</v>
      </c>
      <c r="F347" t="s">
        <v>17</v>
      </c>
      <c r="G347" t="s">
        <v>18</v>
      </c>
      <c r="H347" t="str">
        <f t="shared" si="15"/>
        <v>WIN</v>
      </c>
      <c r="I347" t="s">
        <v>17</v>
      </c>
      <c r="J347" t="s">
        <v>19</v>
      </c>
      <c r="K347" t="s">
        <v>24</v>
      </c>
    </row>
    <row r="348" spans="1:11" x14ac:dyDescent="0.3">
      <c r="A348" t="s">
        <v>187</v>
      </c>
      <c r="B348" t="s">
        <v>16</v>
      </c>
      <c r="C348" t="str">
        <f t="shared" si="16"/>
        <v>IPL-2013</v>
      </c>
      <c r="D348">
        <f t="shared" si="17"/>
        <v>2013</v>
      </c>
      <c r="E348" s="1">
        <v>41383</v>
      </c>
      <c r="F348" t="s">
        <v>16</v>
      </c>
      <c r="G348" t="s">
        <v>18</v>
      </c>
      <c r="H348" t="str">
        <f t="shared" si="15"/>
        <v>LOSS</v>
      </c>
      <c r="I348" t="s">
        <v>187</v>
      </c>
      <c r="J348" t="s">
        <v>188</v>
      </c>
      <c r="K348" t="s">
        <v>34</v>
      </c>
    </row>
    <row r="349" spans="1:11" x14ac:dyDescent="0.3">
      <c r="A349" t="s">
        <v>11</v>
      </c>
      <c r="B349" t="s">
        <v>17</v>
      </c>
      <c r="C349" t="str">
        <f t="shared" si="16"/>
        <v>IPL-2013</v>
      </c>
      <c r="D349">
        <f t="shared" si="17"/>
        <v>2013</v>
      </c>
      <c r="E349" s="1">
        <v>41384</v>
      </c>
      <c r="F349" t="s">
        <v>11</v>
      </c>
      <c r="G349" t="s">
        <v>18</v>
      </c>
      <c r="H349" t="str">
        <f t="shared" si="15"/>
        <v>LOSS</v>
      </c>
      <c r="I349" t="s">
        <v>17</v>
      </c>
      <c r="J349" t="s">
        <v>167</v>
      </c>
      <c r="K349" t="s">
        <v>30</v>
      </c>
    </row>
    <row r="350" spans="1:11" x14ac:dyDescent="0.3">
      <c r="A350" t="s">
        <v>10</v>
      </c>
      <c r="B350" t="s">
        <v>22</v>
      </c>
      <c r="C350" t="str">
        <f t="shared" si="16"/>
        <v>IPL-2013</v>
      </c>
      <c r="D350">
        <f t="shared" si="17"/>
        <v>2013</v>
      </c>
      <c r="E350" s="1">
        <v>41384</v>
      </c>
      <c r="F350" t="s">
        <v>10</v>
      </c>
      <c r="G350" t="s">
        <v>12</v>
      </c>
      <c r="H350" t="str">
        <f t="shared" si="15"/>
        <v>WIN</v>
      </c>
      <c r="I350" t="s">
        <v>10</v>
      </c>
      <c r="J350" t="s">
        <v>67</v>
      </c>
      <c r="K350" t="s">
        <v>14</v>
      </c>
    </row>
    <row r="351" spans="1:11" x14ac:dyDescent="0.3">
      <c r="A351" t="s">
        <v>21</v>
      </c>
      <c r="B351" t="s">
        <v>25</v>
      </c>
      <c r="C351" t="str">
        <f t="shared" si="16"/>
        <v>IPL-2013</v>
      </c>
      <c r="D351">
        <f t="shared" si="17"/>
        <v>2013</v>
      </c>
      <c r="E351" s="1">
        <v>41385</v>
      </c>
      <c r="F351" t="s">
        <v>25</v>
      </c>
      <c r="G351" t="s">
        <v>18</v>
      </c>
      <c r="H351" t="str">
        <f t="shared" si="15"/>
        <v>LOSS</v>
      </c>
      <c r="I351" t="s">
        <v>21</v>
      </c>
      <c r="J351" t="s">
        <v>33</v>
      </c>
      <c r="K351" t="s">
        <v>24</v>
      </c>
    </row>
    <row r="352" spans="1:11" x14ac:dyDescent="0.3">
      <c r="A352" t="s">
        <v>16</v>
      </c>
      <c r="B352" t="s">
        <v>144</v>
      </c>
      <c r="C352" t="str">
        <f t="shared" si="16"/>
        <v>IPL-2013</v>
      </c>
      <c r="D352">
        <f t="shared" si="17"/>
        <v>2013</v>
      </c>
      <c r="E352" s="1">
        <v>41385</v>
      </c>
      <c r="F352" t="s">
        <v>16</v>
      </c>
      <c r="G352" t="s">
        <v>12</v>
      </c>
      <c r="H352" t="str">
        <f t="shared" si="15"/>
        <v>WIN</v>
      </c>
      <c r="I352" t="s">
        <v>16</v>
      </c>
      <c r="J352" t="s">
        <v>194</v>
      </c>
      <c r="K352" t="s">
        <v>20</v>
      </c>
    </row>
    <row r="353" spans="1:11" x14ac:dyDescent="0.3">
      <c r="A353" t="s">
        <v>17</v>
      </c>
      <c r="B353" t="s">
        <v>22</v>
      </c>
      <c r="C353" t="str">
        <f t="shared" si="16"/>
        <v>IPL-2013</v>
      </c>
      <c r="D353">
        <f t="shared" si="17"/>
        <v>2013</v>
      </c>
      <c r="E353" s="1">
        <v>41386</v>
      </c>
      <c r="F353" t="s">
        <v>22</v>
      </c>
      <c r="G353" t="s">
        <v>18</v>
      </c>
      <c r="H353" t="str">
        <f t="shared" si="15"/>
        <v>LOSS</v>
      </c>
      <c r="I353" t="s">
        <v>17</v>
      </c>
      <c r="J353" t="s">
        <v>19</v>
      </c>
      <c r="K353" t="s">
        <v>36</v>
      </c>
    </row>
    <row r="354" spans="1:11" x14ac:dyDescent="0.3">
      <c r="A354" t="s">
        <v>21</v>
      </c>
      <c r="B354" t="s">
        <v>16</v>
      </c>
      <c r="C354" t="str">
        <f t="shared" si="16"/>
        <v>IPL-2013</v>
      </c>
      <c r="D354">
        <f t="shared" si="17"/>
        <v>2013</v>
      </c>
      <c r="E354" s="1">
        <v>41387</v>
      </c>
      <c r="F354" t="s">
        <v>16</v>
      </c>
      <c r="G354" t="s">
        <v>12</v>
      </c>
      <c r="H354" t="str">
        <f t="shared" si="15"/>
        <v>WIN</v>
      </c>
      <c r="I354" t="s">
        <v>16</v>
      </c>
      <c r="J354" t="s">
        <v>132</v>
      </c>
      <c r="K354" t="s">
        <v>24</v>
      </c>
    </row>
    <row r="355" spans="1:11" x14ac:dyDescent="0.3">
      <c r="A355" t="s">
        <v>10</v>
      </c>
      <c r="B355" t="s">
        <v>144</v>
      </c>
      <c r="C355" t="str">
        <f t="shared" si="16"/>
        <v>IPL-2013</v>
      </c>
      <c r="D355">
        <f t="shared" si="17"/>
        <v>2013</v>
      </c>
      <c r="E355" s="1">
        <v>41387</v>
      </c>
      <c r="F355" t="s">
        <v>144</v>
      </c>
      <c r="G355" t="s">
        <v>12</v>
      </c>
      <c r="H355" t="str">
        <f t="shared" si="15"/>
        <v>LOSS</v>
      </c>
      <c r="I355" t="s">
        <v>10</v>
      </c>
      <c r="J355" t="s">
        <v>77</v>
      </c>
      <c r="K355" t="s">
        <v>14</v>
      </c>
    </row>
    <row r="356" spans="1:11" x14ac:dyDescent="0.3">
      <c r="A356" t="s">
        <v>11</v>
      </c>
      <c r="B356" t="s">
        <v>25</v>
      </c>
      <c r="C356" t="str">
        <f t="shared" si="16"/>
        <v>IPL-2013</v>
      </c>
      <c r="D356">
        <f t="shared" si="17"/>
        <v>2013</v>
      </c>
      <c r="E356" s="1">
        <v>41388</v>
      </c>
      <c r="F356" t="s">
        <v>11</v>
      </c>
      <c r="G356" t="s">
        <v>18</v>
      </c>
      <c r="H356" t="str">
        <f t="shared" si="15"/>
        <v>LOSS</v>
      </c>
      <c r="I356" t="s">
        <v>25</v>
      </c>
      <c r="J356" t="s">
        <v>97</v>
      </c>
      <c r="K356" t="s">
        <v>30</v>
      </c>
    </row>
    <row r="357" spans="1:11" x14ac:dyDescent="0.3">
      <c r="A357" t="s">
        <v>17</v>
      </c>
      <c r="B357" t="s">
        <v>187</v>
      </c>
      <c r="C357" t="str">
        <f t="shared" si="16"/>
        <v>IPL-2013</v>
      </c>
      <c r="D357">
        <f t="shared" si="17"/>
        <v>2013</v>
      </c>
      <c r="E357" s="1">
        <v>41389</v>
      </c>
      <c r="F357" t="s">
        <v>187</v>
      </c>
      <c r="G357" t="s">
        <v>18</v>
      </c>
      <c r="H357" t="str">
        <f t="shared" si="15"/>
        <v>LOSS</v>
      </c>
      <c r="I357" t="s">
        <v>17</v>
      </c>
      <c r="J357" t="s">
        <v>43</v>
      </c>
      <c r="K357" t="s">
        <v>36</v>
      </c>
    </row>
    <row r="358" spans="1:11" x14ac:dyDescent="0.3">
      <c r="A358" t="s">
        <v>11</v>
      </c>
      <c r="B358" t="s">
        <v>16</v>
      </c>
      <c r="C358" t="str">
        <f t="shared" si="16"/>
        <v>IPL-2013</v>
      </c>
      <c r="D358">
        <f t="shared" si="17"/>
        <v>2013</v>
      </c>
      <c r="E358" s="1">
        <v>41390</v>
      </c>
      <c r="F358" t="s">
        <v>16</v>
      </c>
      <c r="G358" t="s">
        <v>18</v>
      </c>
      <c r="H358" t="str">
        <f t="shared" si="15"/>
        <v>LOSS</v>
      </c>
      <c r="I358" t="s">
        <v>11</v>
      </c>
      <c r="J358" t="s">
        <v>91</v>
      </c>
      <c r="K358" t="s">
        <v>30</v>
      </c>
    </row>
    <row r="359" spans="1:11" x14ac:dyDescent="0.3">
      <c r="A359" t="s">
        <v>22</v>
      </c>
      <c r="B359" t="s">
        <v>187</v>
      </c>
      <c r="C359" t="str">
        <f t="shared" si="16"/>
        <v>IPL-2013</v>
      </c>
      <c r="D359">
        <f t="shared" si="17"/>
        <v>2013</v>
      </c>
      <c r="E359" s="1">
        <v>41391</v>
      </c>
      <c r="F359" t="s">
        <v>187</v>
      </c>
      <c r="G359" t="s">
        <v>18</v>
      </c>
      <c r="H359" t="str">
        <f t="shared" si="15"/>
        <v>LOSS</v>
      </c>
      <c r="I359" t="s">
        <v>22</v>
      </c>
      <c r="J359" t="s">
        <v>191</v>
      </c>
      <c r="K359" t="s">
        <v>32</v>
      </c>
    </row>
    <row r="360" spans="1:11" x14ac:dyDescent="0.3">
      <c r="A360" t="s">
        <v>25</v>
      </c>
      <c r="B360" t="s">
        <v>10</v>
      </c>
      <c r="C360" t="str">
        <f t="shared" si="16"/>
        <v>IPL-2013</v>
      </c>
      <c r="D360">
        <f t="shared" si="17"/>
        <v>2013</v>
      </c>
      <c r="E360" s="1">
        <v>41391</v>
      </c>
      <c r="F360" t="s">
        <v>25</v>
      </c>
      <c r="G360" t="s">
        <v>18</v>
      </c>
      <c r="H360" t="str">
        <f t="shared" si="15"/>
        <v>WIN</v>
      </c>
      <c r="I360" t="s">
        <v>25</v>
      </c>
      <c r="J360" t="s">
        <v>97</v>
      </c>
      <c r="K360" t="s">
        <v>27</v>
      </c>
    </row>
    <row r="361" spans="1:11" x14ac:dyDescent="0.3">
      <c r="A361" t="s">
        <v>17</v>
      </c>
      <c r="B361" t="s">
        <v>11</v>
      </c>
      <c r="C361" t="str">
        <f t="shared" si="16"/>
        <v>IPL-2013</v>
      </c>
      <c r="D361">
        <f t="shared" si="17"/>
        <v>2013</v>
      </c>
      <c r="E361" s="1">
        <v>41392</v>
      </c>
      <c r="F361" t="s">
        <v>11</v>
      </c>
      <c r="G361" t="s">
        <v>12</v>
      </c>
      <c r="H361" t="str">
        <f t="shared" si="15"/>
        <v>LOSS</v>
      </c>
      <c r="I361" t="s">
        <v>17</v>
      </c>
      <c r="J361" t="s">
        <v>19</v>
      </c>
      <c r="K361" t="s">
        <v>36</v>
      </c>
    </row>
    <row r="362" spans="1:11" x14ac:dyDescent="0.3">
      <c r="A362" t="s">
        <v>21</v>
      </c>
      <c r="B362" t="s">
        <v>144</v>
      </c>
      <c r="C362" t="str">
        <f t="shared" si="16"/>
        <v>IPL-2013</v>
      </c>
      <c r="D362">
        <f t="shared" si="17"/>
        <v>2013</v>
      </c>
      <c r="E362" s="1">
        <v>41392</v>
      </c>
      <c r="F362" t="s">
        <v>144</v>
      </c>
      <c r="G362" t="s">
        <v>12</v>
      </c>
      <c r="H362" t="str">
        <f t="shared" si="15"/>
        <v>LOSS</v>
      </c>
      <c r="I362" t="s">
        <v>21</v>
      </c>
      <c r="J362" t="s">
        <v>121</v>
      </c>
      <c r="K362" t="s">
        <v>195</v>
      </c>
    </row>
    <row r="363" spans="1:11" x14ac:dyDescent="0.3">
      <c r="A363" t="s">
        <v>25</v>
      </c>
      <c r="B363" t="s">
        <v>16</v>
      </c>
      <c r="C363" t="str">
        <f t="shared" si="16"/>
        <v>IPL-2013</v>
      </c>
      <c r="D363">
        <f t="shared" si="17"/>
        <v>2013</v>
      </c>
      <c r="E363" s="1">
        <v>41393</v>
      </c>
      <c r="F363" t="s">
        <v>25</v>
      </c>
      <c r="G363" t="s">
        <v>18</v>
      </c>
      <c r="H363" t="str">
        <f t="shared" si="15"/>
        <v>WIN</v>
      </c>
      <c r="I363" t="s">
        <v>25</v>
      </c>
      <c r="J363" t="s">
        <v>93</v>
      </c>
      <c r="K363" t="s">
        <v>27</v>
      </c>
    </row>
    <row r="364" spans="1:11" x14ac:dyDescent="0.3">
      <c r="A364" t="s">
        <v>22</v>
      </c>
      <c r="B364" t="s">
        <v>10</v>
      </c>
      <c r="C364" t="str">
        <f t="shared" si="16"/>
        <v>IPL-2013</v>
      </c>
      <c r="D364">
        <f t="shared" si="17"/>
        <v>2013</v>
      </c>
      <c r="E364" s="1">
        <v>41393</v>
      </c>
      <c r="F364" t="s">
        <v>22</v>
      </c>
      <c r="G364" t="s">
        <v>12</v>
      </c>
      <c r="H364" t="str">
        <f t="shared" si="15"/>
        <v>WIN</v>
      </c>
      <c r="I364" t="s">
        <v>22</v>
      </c>
      <c r="J364" t="s">
        <v>196</v>
      </c>
      <c r="K364" t="s">
        <v>32</v>
      </c>
    </row>
    <row r="365" spans="1:11" x14ac:dyDescent="0.3">
      <c r="A365" t="s">
        <v>144</v>
      </c>
      <c r="B365" t="s">
        <v>17</v>
      </c>
      <c r="C365" t="str">
        <f t="shared" si="16"/>
        <v>IPL-2013</v>
      </c>
      <c r="D365">
        <f t="shared" si="17"/>
        <v>2013</v>
      </c>
      <c r="E365" s="1">
        <v>41394</v>
      </c>
      <c r="F365" t="s">
        <v>17</v>
      </c>
      <c r="G365" t="s">
        <v>18</v>
      </c>
      <c r="H365" t="str">
        <f t="shared" si="15"/>
        <v>WIN</v>
      </c>
      <c r="I365" t="s">
        <v>17</v>
      </c>
      <c r="J365" t="s">
        <v>43</v>
      </c>
      <c r="K365" t="s">
        <v>170</v>
      </c>
    </row>
    <row r="366" spans="1:11" x14ac:dyDescent="0.3">
      <c r="A366" t="s">
        <v>21</v>
      </c>
      <c r="B366" t="s">
        <v>11</v>
      </c>
      <c r="C366" t="str">
        <f t="shared" si="16"/>
        <v>IPL-2013</v>
      </c>
      <c r="D366">
        <f t="shared" si="17"/>
        <v>2013</v>
      </c>
      <c r="E366" s="1">
        <v>41395</v>
      </c>
      <c r="F366" t="s">
        <v>11</v>
      </c>
      <c r="G366" t="s">
        <v>18</v>
      </c>
      <c r="H366" t="str">
        <f t="shared" si="15"/>
        <v>LOSS</v>
      </c>
      <c r="I366" t="s">
        <v>21</v>
      </c>
      <c r="J366" t="s">
        <v>121</v>
      </c>
      <c r="K366" t="s">
        <v>195</v>
      </c>
    </row>
    <row r="367" spans="1:11" x14ac:dyDescent="0.3">
      <c r="A367" t="s">
        <v>187</v>
      </c>
      <c r="B367" t="s">
        <v>25</v>
      </c>
      <c r="C367" t="str">
        <f t="shared" si="16"/>
        <v>IPL-2013</v>
      </c>
      <c r="D367">
        <f t="shared" si="17"/>
        <v>2013</v>
      </c>
      <c r="E367" s="1">
        <v>41395</v>
      </c>
      <c r="F367" t="s">
        <v>25</v>
      </c>
      <c r="G367" t="s">
        <v>18</v>
      </c>
      <c r="H367" t="str">
        <f t="shared" si="15"/>
        <v>LOSS</v>
      </c>
      <c r="I367" t="s">
        <v>187</v>
      </c>
      <c r="J367" t="s">
        <v>152</v>
      </c>
      <c r="K367" t="s">
        <v>34</v>
      </c>
    </row>
    <row r="368" spans="1:11" x14ac:dyDescent="0.3">
      <c r="A368" t="s">
        <v>144</v>
      </c>
      <c r="B368" t="s">
        <v>10</v>
      </c>
      <c r="C368" t="str">
        <f t="shared" si="16"/>
        <v>IPL-2013</v>
      </c>
      <c r="D368">
        <f t="shared" si="17"/>
        <v>2013</v>
      </c>
      <c r="E368" s="1">
        <v>41396</v>
      </c>
      <c r="F368" t="s">
        <v>10</v>
      </c>
      <c r="G368" t="s">
        <v>18</v>
      </c>
      <c r="H368" t="str">
        <f t="shared" si="15"/>
        <v>WIN</v>
      </c>
      <c r="I368" t="s">
        <v>10</v>
      </c>
      <c r="J368" t="s">
        <v>79</v>
      </c>
      <c r="K368" t="s">
        <v>170</v>
      </c>
    </row>
    <row r="369" spans="1:11" x14ac:dyDescent="0.3">
      <c r="A369" t="s">
        <v>17</v>
      </c>
      <c r="B369" t="s">
        <v>16</v>
      </c>
      <c r="C369" t="str">
        <f t="shared" si="16"/>
        <v>IPL-2013</v>
      </c>
      <c r="D369">
        <f t="shared" si="17"/>
        <v>2013</v>
      </c>
      <c r="E369" s="1">
        <v>41396</v>
      </c>
      <c r="F369" t="s">
        <v>17</v>
      </c>
      <c r="G369" t="s">
        <v>18</v>
      </c>
      <c r="H369" t="str">
        <f t="shared" si="15"/>
        <v>WIN</v>
      </c>
      <c r="I369" t="s">
        <v>17</v>
      </c>
      <c r="J369" t="s">
        <v>68</v>
      </c>
      <c r="K369" t="s">
        <v>36</v>
      </c>
    </row>
    <row r="370" spans="1:11" x14ac:dyDescent="0.3">
      <c r="A370" t="s">
        <v>11</v>
      </c>
      <c r="B370" t="s">
        <v>22</v>
      </c>
      <c r="C370" t="str">
        <f t="shared" si="16"/>
        <v>IPL-2013</v>
      </c>
      <c r="D370">
        <f t="shared" si="17"/>
        <v>2013</v>
      </c>
      <c r="E370" s="1">
        <v>41397</v>
      </c>
      <c r="F370" t="s">
        <v>22</v>
      </c>
      <c r="G370" t="s">
        <v>18</v>
      </c>
      <c r="H370" t="str">
        <f t="shared" si="15"/>
        <v>LOSS</v>
      </c>
      <c r="I370" t="s">
        <v>11</v>
      </c>
      <c r="J370" t="s">
        <v>37</v>
      </c>
      <c r="K370" t="s">
        <v>30</v>
      </c>
    </row>
    <row r="371" spans="1:11" x14ac:dyDescent="0.3">
      <c r="A371" t="s">
        <v>187</v>
      </c>
      <c r="B371" t="s">
        <v>21</v>
      </c>
      <c r="C371" t="str">
        <f t="shared" si="16"/>
        <v>IPL-2013</v>
      </c>
      <c r="D371">
        <f t="shared" si="17"/>
        <v>2013</v>
      </c>
      <c r="E371" s="1">
        <v>41398</v>
      </c>
      <c r="F371" t="s">
        <v>21</v>
      </c>
      <c r="G371" t="s">
        <v>18</v>
      </c>
      <c r="H371" t="str">
        <f t="shared" si="15"/>
        <v>LOSS</v>
      </c>
      <c r="I371" t="s">
        <v>187</v>
      </c>
      <c r="J371" t="s">
        <v>197</v>
      </c>
      <c r="K371" t="s">
        <v>34</v>
      </c>
    </row>
    <row r="372" spans="1:11" x14ac:dyDescent="0.3">
      <c r="A372" t="s">
        <v>22</v>
      </c>
      <c r="B372" t="s">
        <v>144</v>
      </c>
      <c r="C372" t="str">
        <f t="shared" si="16"/>
        <v>IPL-2013</v>
      </c>
      <c r="D372">
        <f t="shared" si="17"/>
        <v>2013</v>
      </c>
      <c r="E372" s="1">
        <v>41399</v>
      </c>
      <c r="F372" t="s">
        <v>144</v>
      </c>
      <c r="G372" t="s">
        <v>18</v>
      </c>
      <c r="H372" t="str">
        <f t="shared" si="15"/>
        <v>LOSS</v>
      </c>
      <c r="I372" t="s">
        <v>22</v>
      </c>
      <c r="J372" t="s">
        <v>166</v>
      </c>
      <c r="K372" t="s">
        <v>32</v>
      </c>
    </row>
    <row r="373" spans="1:11" x14ac:dyDescent="0.3">
      <c r="A373" t="s">
        <v>25</v>
      </c>
      <c r="B373" t="s">
        <v>17</v>
      </c>
      <c r="C373" t="str">
        <f t="shared" si="16"/>
        <v>IPL-2013</v>
      </c>
      <c r="D373">
        <f t="shared" si="17"/>
        <v>2013</v>
      </c>
      <c r="E373" s="1">
        <v>41399</v>
      </c>
      <c r="F373" t="s">
        <v>25</v>
      </c>
      <c r="G373" t="s">
        <v>18</v>
      </c>
      <c r="H373" t="str">
        <f t="shared" si="15"/>
        <v>WIN</v>
      </c>
      <c r="I373" t="s">
        <v>25</v>
      </c>
      <c r="J373" t="s">
        <v>198</v>
      </c>
      <c r="K373" t="s">
        <v>27</v>
      </c>
    </row>
    <row r="374" spans="1:11" x14ac:dyDescent="0.3">
      <c r="A374" t="s">
        <v>16</v>
      </c>
      <c r="B374" t="s">
        <v>10</v>
      </c>
      <c r="C374" t="str">
        <f t="shared" si="16"/>
        <v>IPL-2013</v>
      </c>
      <c r="D374">
        <f t="shared" si="17"/>
        <v>2013</v>
      </c>
      <c r="E374" s="1">
        <v>41400</v>
      </c>
      <c r="F374" t="s">
        <v>16</v>
      </c>
      <c r="G374" t="s">
        <v>12</v>
      </c>
      <c r="H374" t="str">
        <f t="shared" si="15"/>
        <v>WIN</v>
      </c>
      <c r="I374" t="s">
        <v>16</v>
      </c>
      <c r="J374" t="s">
        <v>194</v>
      </c>
      <c r="K374" t="s">
        <v>20</v>
      </c>
    </row>
    <row r="375" spans="1:11" x14ac:dyDescent="0.3">
      <c r="A375" t="s">
        <v>22</v>
      </c>
      <c r="B375" t="s">
        <v>21</v>
      </c>
      <c r="C375" t="str">
        <f t="shared" si="16"/>
        <v>IPL-2013</v>
      </c>
      <c r="D375">
        <f t="shared" si="17"/>
        <v>2013</v>
      </c>
      <c r="E375" s="1">
        <v>41401</v>
      </c>
      <c r="F375" t="s">
        <v>21</v>
      </c>
      <c r="G375" t="s">
        <v>18</v>
      </c>
      <c r="H375" t="str">
        <f t="shared" si="15"/>
        <v>LOSS</v>
      </c>
      <c r="I375" t="s">
        <v>22</v>
      </c>
      <c r="J375" t="s">
        <v>166</v>
      </c>
      <c r="K375" t="s">
        <v>32</v>
      </c>
    </row>
    <row r="376" spans="1:11" x14ac:dyDescent="0.3">
      <c r="A376" t="s">
        <v>25</v>
      </c>
      <c r="B376" t="s">
        <v>11</v>
      </c>
      <c r="C376" t="str">
        <f t="shared" si="16"/>
        <v>IPL-2013</v>
      </c>
      <c r="D376">
        <f t="shared" si="17"/>
        <v>2013</v>
      </c>
      <c r="E376" s="1">
        <v>41401</v>
      </c>
      <c r="F376" t="s">
        <v>25</v>
      </c>
      <c r="G376" t="s">
        <v>18</v>
      </c>
      <c r="H376" t="str">
        <f t="shared" si="15"/>
        <v>WIN</v>
      </c>
      <c r="I376" t="s">
        <v>25</v>
      </c>
      <c r="J376" t="s">
        <v>72</v>
      </c>
      <c r="K376" t="s">
        <v>27</v>
      </c>
    </row>
    <row r="377" spans="1:11" x14ac:dyDescent="0.3">
      <c r="A377" t="s">
        <v>187</v>
      </c>
      <c r="B377" t="s">
        <v>17</v>
      </c>
      <c r="C377" t="str">
        <f t="shared" si="16"/>
        <v>IPL-2013</v>
      </c>
      <c r="D377">
        <f t="shared" si="17"/>
        <v>2013</v>
      </c>
      <c r="E377" s="1">
        <v>41402</v>
      </c>
      <c r="F377" t="s">
        <v>187</v>
      </c>
      <c r="G377" t="s">
        <v>12</v>
      </c>
      <c r="H377" t="str">
        <f t="shared" si="15"/>
        <v>LOSS</v>
      </c>
      <c r="I377" t="s">
        <v>17</v>
      </c>
      <c r="J377" t="s">
        <v>68</v>
      </c>
      <c r="K377" t="s">
        <v>34</v>
      </c>
    </row>
    <row r="378" spans="1:11" x14ac:dyDescent="0.3">
      <c r="A378" t="s">
        <v>144</v>
      </c>
      <c r="B378" t="s">
        <v>11</v>
      </c>
      <c r="C378" t="str">
        <f t="shared" si="16"/>
        <v>IPL-2013</v>
      </c>
      <c r="D378">
        <f t="shared" si="17"/>
        <v>2013</v>
      </c>
      <c r="E378" s="1">
        <v>41403</v>
      </c>
      <c r="F378" t="s">
        <v>11</v>
      </c>
      <c r="G378" t="s">
        <v>18</v>
      </c>
      <c r="H378" t="str">
        <f t="shared" si="15"/>
        <v>WIN</v>
      </c>
      <c r="I378" t="s">
        <v>11</v>
      </c>
      <c r="J378" t="s">
        <v>92</v>
      </c>
      <c r="K378" t="s">
        <v>170</v>
      </c>
    </row>
    <row r="379" spans="1:11" x14ac:dyDescent="0.3">
      <c r="A379" t="s">
        <v>16</v>
      </c>
      <c r="B379" t="s">
        <v>22</v>
      </c>
      <c r="C379" t="str">
        <f t="shared" si="16"/>
        <v>IPL-2013</v>
      </c>
      <c r="D379">
        <f t="shared" si="17"/>
        <v>2013</v>
      </c>
      <c r="E379" s="1">
        <v>41403</v>
      </c>
      <c r="F379" t="s">
        <v>22</v>
      </c>
      <c r="G379" t="s">
        <v>12</v>
      </c>
      <c r="H379" t="str">
        <f t="shared" si="15"/>
        <v>WIN</v>
      </c>
      <c r="I379" t="s">
        <v>22</v>
      </c>
      <c r="J379" t="s">
        <v>199</v>
      </c>
      <c r="K379" t="s">
        <v>20</v>
      </c>
    </row>
    <row r="380" spans="1:11" x14ac:dyDescent="0.3">
      <c r="A380" t="s">
        <v>21</v>
      </c>
      <c r="B380" t="s">
        <v>10</v>
      </c>
      <c r="C380" t="str">
        <f t="shared" si="16"/>
        <v>IPL-2013</v>
      </c>
      <c r="D380">
        <f t="shared" si="17"/>
        <v>2013</v>
      </c>
      <c r="E380" s="1">
        <v>41404</v>
      </c>
      <c r="F380" t="s">
        <v>21</v>
      </c>
      <c r="G380" t="s">
        <v>12</v>
      </c>
      <c r="H380" t="str">
        <f t="shared" si="15"/>
        <v>LOSS</v>
      </c>
      <c r="I380" t="s">
        <v>10</v>
      </c>
      <c r="J380" t="s">
        <v>137</v>
      </c>
      <c r="K380" t="s">
        <v>24</v>
      </c>
    </row>
    <row r="381" spans="1:11" x14ac:dyDescent="0.3">
      <c r="A381" t="s">
        <v>144</v>
      </c>
      <c r="B381" t="s">
        <v>25</v>
      </c>
      <c r="C381" t="str">
        <f t="shared" si="16"/>
        <v>IPL-2013</v>
      </c>
      <c r="D381">
        <f t="shared" si="17"/>
        <v>2013</v>
      </c>
      <c r="E381" s="1">
        <v>41405</v>
      </c>
      <c r="F381" t="s">
        <v>144</v>
      </c>
      <c r="G381" t="s">
        <v>18</v>
      </c>
      <c r="H381" t="str">
        <f t="shared" si="15"/>
        <v>LOSS</v>
      </c>
      <c r="I381" t="s">
        <v>25</v>
      </c>
      <c r="J381" t="s">
        <v>198</v>
      </c>
      <c r="K381" t="s">
        <v>170</v>
      </c>
    </row>
    <row r="382" spans="1:11" x14ac:dyDescent="0.3">
      <c r="A382" t="s">
        <v>16</v>
      </c>
      <c r="B382" t="s">
        <v>187</v>
      </c>
      <c r="C382" t="str">
        <f t="shared" si="16"/>
        <v>IPL-2013</v>
      </c>
      <c r="D382">
        <f t="shared" si="17"/>
        <v>2013</v>
      </c>
      <c r="E382" s="1">
        <v>41405</v>
      </c>
      <c r="F382" t="s">
        <v>16</v>
      </c>
      <c r="G382" t="s">
        <v>12</v>
      </c>
      <c r="H382" t="str">
        <f t="shared" si="15"/>
        <v>LOSS</v>
      </c>
      <c r="I382" t="s">
        <v>187</v>
      </c>
      <c r="J382" t="s">
        <v>200</v>
      </c>
      <c r="K382" t="s">
        <v>20</v>
      </c>
    </row>
    <row r="383" spans="1:11" x14ac:dyDescent="0.3">
      <c r="A383" t="s">
        <v>22</v>
      </c>
      <c r="B383" t="s">
        <v>17</v>
      </c>
      <c r="C383" t="str">
        <f t="shared" si="16"/>
        <v>IPL-2013</v>
      </c>
      <c r="D383">
        <f t="shared" si="17"/>
        <v>2013</v>
      </c>
      <c r="E383" s="1">
        <v>41406</v>
      </c>
      <c r="F383" t="s">
        <v>22</v>
      </c>
      <c r="G383" t="s">
        <v>12</v>
      </c>
      <c r="H383" t="str">
        <f t="shared" si="15"/>
        <v>WIN</v>
      </c>
      <c r="I383" t="s">
        <v>22</v>
      </c>
      <c r="J383" t="s">
        <v>31</v>
      </c>
      <c r="K383" t="s">
        <v>32</v>
      </c>
    </row>
    <row r="384" spans="1:11" x14ac:dyDescent="0.3">
      <c r="A384" t="s">
        <v>11</v>
      </c>
      <c r="B384" t="s">
        <v>10</v>
      </c>
      <c r="C384" t="str">
        <f t="shared" si="16"/>
        <v>IPL-2013</v>
      </c>
      <c r="D384">
        <f t="shared" si="17"/>
        <v>2013</v>
      </c>
      <c r="E384" s="1">
        <v>41406</v>
      </c>
      <c r="F384" t="s">
        <v>11</v>
      </c>
      <c r="G384" t="s">
        <v>12</v>
      </c>
      <c r="H384" t="str">
        <f t="shared" si="15"/>
        <v>WIN</v>
      </c>
      <c r="I384" t="s">
        <v>11</v>
      </c>
      <c r="J384" t="s">
        <v>91</v>
      </c>
      <c r="K384" t="s">
        <v>201</v>
      </c>
    </row>
    <row r="385" spans="1:11" x14ac:dyDescent="0.3">
      <c r="A385" t="s">
        <v>25</v>
      </c>
      <c r="B385" t="s">
        <v>187</v>
      </c>
      <c r="C385" t="str">
        <f t="shared" si="16"/>
        <v>IPL-2013</v>
      </c>
      <c r="D385">
        <f t="shared" si="17"/>
        <v>2013</v>
      </c>
      <c r="E385" s="1">
        <v>41407</v>
      </c>
      <c r="F385" t="s">
        <v>187</v>
      </c>
      <c r="G385" t="s">
        <v>18</v>
      </c>
      <c r="H385" t="str">
        <f t="shared" si="15"/>
        <v>LOSS</v>
      </c>
      <c r="I385" t="s">
        <v>25</v>
      </c>
      <c r="J385" t="s">
        <v>134</v>
      </c>
      <c r="K385" t="s">
        <v>27</v>
      </c>
    </row>
    <row r="386" spans="1:11" x14ac:dyDescent="0.3">
      <c r="A386" t="s">
        <v>17</v>
      </c>
      <c r="B386" t="s">
        <v>21</v>
      </c>
      <c r="C386" t="str">
        <f t="shared" si="16"/>
        <v>IPL-2013</v>
      </c>
      <c r="D386">
        <f t="shared" si="17"/>
        <v>2013</v>
      </c>
      <c r="E386" s="1">
        <v>41408</v>
      </c>
      <c r="F386" t="s">
        <v>17</v>
      </c>
      <c r="G386" t="s">
        <v>18</v>
      </c>
      <c r="H386" t="str">
        <f t="shared" ref="H386:H449" si="18">IF(F386=I386,"WIN","LOSS")</f>
        <v>WIN</v>
      </c>
      <c r="I386" t="s">
        <v>17</v>
      </c>
      <c r="J386" t="s">
        <v>43</v>
      </c>
      <c r="K386" t="s">
        <v>36</v>
      </c>
    </row>
    <row r="387" spans="1:11" x14ac:dyDescent="0.3">
      <c r="A387" t="s">
        <v>10</v>
      </c>
      <c r="B387" t="s">
        <v>16</v>
      </c>
      <c r="C387" t="str">
        <f t="shared" ref="C387:C450" si="19">_xlfn.CONCAT("IPL-",D387)</f>
        <v>IPL-2013</v>
      </c>
      <c r="D387">
        <f t="shared" ref="D387:D450" si="20">YEAR(E387)</f>
        <v>2013</v>
      </c>
      <c r="E387" s="1">
        <v>41408</v>
      </c>
      <c r="F387" t="s">
        <v>16</v>
      </c>
      <c r="G387" t="s">
        <v>12</v>
      </c>
      <c r="H387" t="str">
        <f t="shared" si="18"/>
        <v>WIN</v>
      </c>
      <c r="I387" t="s">
        <v>16</v>
      </c>
      <c r="J387" t="s">
        <v>40</v>
      </c>
      <c r="K387" t="s">
        <v>14</v>
      </c>
    </row>
    <row r="388" spans="1:11" x14ac:dyDescent="0.3">
      <c r="A388" t="s">
        <v>25</v>
      </c>
      <c r="B388" t="s">
        <v>22</v>
      </c>
      <c r="C388" t="str">
        <f t="shared" si="19"/>
        <v>IPL-2013</v>
      </c>
      <c r="D388">
        <f t="shared" si="20"/>
        <v>2013</v>
      </c>
      <c r="E388" s="1">
        <v>41409</v>
      </c>
      <c r="F388" t="s">
        <v>22</v>
      </c>
      <c r="G388" t="s">
        <v>12</v>
      </c>
      <c r="H388" t="str">
        <f t="shared" si="18"/>
        <v>LOSS</v>
      </c>
      <c r="I388" t="s">
        <v>25</v>
      </c>
      <c r="J388" t="s">
        <v>202</v>
      </c>
      <c r="K388" t="s">
        <v>27</v>
      </c>
    </row>
    <row r="389" spans="1:11" x14ac:dyDescent="0.3">
      <c r="A389" t="s">
        <v>11</v>
      </c>
      <c r="B389" t="s">
        <v>144</v>
      </c>
      <c r="C389" t="str">
        <f t="shared" si="19"/>
        <v>IPL-2013</v>
      </c>
      <c r="D389">
        <f t="shared" si="20"/>
        <v>2013</v>
      </c>
      <c r="E389" s="1">
        <v>41409</v>
      </c>
      <c r="F389" t="s">
        <v>11</v>
      </c>
      <c r="G389" t="s">
        <v>12</v>
      </c>
      <c r="H389" t="str">
        <f t="shared" si="18"/>
        <v>LOSS</v>
      </c>
      <c r="I389" t="s">
        <v>144</v>
      </c>
      <c r="J389" t="s">
        <v>106</v>
      </c>
      <c r="K389" t="s">
        <v>201</v>
      </c>
    </row>
    <row r="390" spans="1:11" x14ac:dyDescent="0.3">
      <c r="A390" t="s">
        <v>16</v>
      </c>
      <c r="B390" t="s">
        <v>21</v>
      </c>
      <c r="C390" t="str">
        <f t="shared" si="19"/>
        <v>IPL-2013</v>
      </c>
      <c r="D390">
        <f t="shared" si="20"/>
        <v>2013</v>
      </c>
      <c r="E390" s="1">
        <v>41410</v>
      </c>
      <c r="F390" t="s">
        <v>21</v>
      </c>
      <c r="G390" t="s">
        <v>12</v>
      </c>
      <c r="H390" t="str">
        <f t="shared" si="18"/>
        <v>LOSS</v>
      </c>
      <c r="I390" t="s">
        <v>16</v>
      </c>
      <c r="J390" t="s">
        <v>194</v>
      </c>
      <c r="K390" t="s">
        <v>135</v>
      </c>
    </row>
    <row r="391" spans="1:11" x14ac:dyDescent="0.3">
      <c r="A391" t="s">
        <v>187</v>
      </c>
      <c r="B391" t="s">
        <v>22</v>
      </c>
      <c r="C391" t="str">
        <f t="shared" si="19"/>
        <v>IPL-2013</v>
      </c>
      <c r="D391">
        <f t="shared" si="20"/>
        <v>2013</v>
      </c>
      <c r="E391" s="1">
        <v>41411</v>
      </c>
      <c r="F391" t="s">
        <v>187</v>
      </c>
      <c r="G391" t="s">
        <v>18</v>
      </c>
      <c r="H391" t="str">
        <f t="shared" si="18"/>
        <v>WIN</v>
      </c>
      <c r="I391" t="s">
        <v>187</v>
      </c>
      <c r="J391" t="s">
        <v>57</v>
      </c>
      <c r="K391" t="s">
        <v>34</v>
      </c>
    </row>
    <row r="392" spans="1:11" x14ac:dyDescent="0.3">
      <c r="A392" t="s">
        <v>10</v>
      </c>
      <c r="B392" t="s">
        <v>17</v>
      </c>
      <c r="C392" t="str">
        <f t="shared" si="19"/>
        <v>IPL-2013</v>
      </c>
      <c r="D392">
        <f t="shared" si="20"/>
        <v>2013</v>
      </c>
      <c r="E392" s="1">
        <v>41412</v>
      </c>
      <c r="F392" t="s">
        <v>17</v>
      </c>
      <c r="G392" t="s">
        <v>12</v>
      </c>
      <c r="H392" t="str">
        <f t="shared" si="18"/>
        <v>LOSS</v>
      </c>
      <c r="I392" t="s">
        <v>10</v>
      </c>
      <c r="J392" t="s">
        <v>151</v>
      </c>
      <c r="K392" t="s">
        <v>14</v>
      </c>
    </row>
    <row r="393" spans="1:11" x14ac:dyDescent="0.3">
      <c r="A393" t="s">
        <v>16</v>
      </c>
      <c r="B393" t="s">
        <v>25</v>
      </c>
      <c r="C393" t="str">
        <f t="shared" si="19"/>
        <v>IPL-2013</v>
      </c>
      <c r="D393">
        <f t="shared" si="20"/>
        <v>2013</v>
      </c>
      <c r="E393" s="1">
        <v>41412</v>
      </c>
      <c r="F393" t="s">
        <v>25</v>
      </c>
      <c r="G393" t="s">
        <v>12</v>
      </c>
      <c r="H393" t="str">
        <f t="shared" si="18"/>
        <v>LOSS</v>
      </c>
      <c r="I393" t="s">
        <v>16</v>
      </c>
      <c r="J393" t="s">
        <v>182</v>
      </c>
      <c r="K393" t="s">
        <v>135</v>
      </c>
    </row>
    <row r="394" spans="1:11" x14ac:dyDescent="0.3">
      <c r="A394" t="s">
        <v>187</v>
      </c>
      <c r="B394" t="s">
        <v>11</v>
      </c>
      <c r="C394" t="str">
        <f t="shared" si="19"/>
        <v>IPL-2013</v>
      </c>
      <c r="D394">
        <f t="shared" si="20"/>
        <v>2013</v>
      </c>
      <c r="E394" s="1">
        <v>41413</v>
      </c>
      <c r="F394" t="s">
        <v>11</v>
      </c>
      <c r="G394" t="s">
        <v>18</v>
      </c>
      <c r="H394" t="str">
        <f t="shared" si="18"/>
        <v>LOSS</v>
      </c>
      <c r="I394" t="s">
        <v>187</v>
      </c>
      <c r="J394" t="s">
        <v>200</v>
      </c>
      <c r="K394" t="s">
        <v>34</v>
      </c>
    </row>
    <row r="395" spans="1:11" x14ac:dyDescent="0.3">
      <c r="A395" t="s">
        <v>144</v>
      </c>
      <c r="B395" t="s">
        <v>21</v>
      </c>
      <c r="C395" t="str">
        <f t="shared" si="19"/>
        <v>IPL-2013</v>
      </c>
      <c r="D395">
        <f t="shared" si="20"/>
        <v>2013</v>
      </c>
      <c r="E395" s="1">
        <v>41413</v>
      </c>
      <c r="F395" t="s">
        <v>144</v>
      </c>
      <c r="G395" t="s">
        <v>18</v>
      </c>
      <c r="H395" t="str">
        <f t="shared" si="18"/>
        <v>WIN</v>
      </c>
      <c r="I395" t="s">
        <v>144</v>
      </c>
      <c r="J395" t="s">
        <v>203</v>
      </c>
      <c r="K395" t="s">
        <v>170</v>
      </c>
    </row>
    <row r="396" spans="1:11" x14ac:dyDescent="0.3">
      <c r="A396" t="s">
        <v>17</v>
      </c>
      <c r="B396" t="s">
        <v>25</v>
      </c>
      <c r="C396" t="str">
        <f t="shared" si="19"/>
        <v>IPL-2013</v>
      </c>
      <c r="D396">
        <f t="shared" si="20"/>
        <v>2013</v>
      </c>
      <c r="E396" s="1">
        <v>41415</v>
      </c>
      <c r="F396" t="s">
        <v>17</v>
      </c>
      <c r="G396" t="s">
        <v>18</v>
      </c>
      <c r="H396" t="str">
        <f t="shared" si="18"/>
        <v>WIN</v>
      </c>
      <c r="I396" t="s">
        <v>17</v>
      </c>
      <c r="J396" t="s">
        <v>19</v>
      </c>
      <c r="K396" t="s">
        <v>24</v>
      </c>
    </row>
    <row r="397" spans="1:11" x14ac:dyDescent="0.3">
      <c r="A397" t="s">
        <v>22</v>
      </c>
      <c r="B397" t="s">
        <v>187</v>
      </c>
      <c r="C397" t="str">
        <f t="shared" si="19"/>
        <v>IPL-2013</v>
      </c>
      <c r="D397">
        <f t="shared" si="20"/>
        <v>2013</v>
      </c>
      <c r="E397" s="1">
        <v>41416</v>
      </c>
      <c r="F397" t="s">
        <v>187</v>
      </c>
      <c r="G397" t="s">
        <v>18</v>
      </c>
      <c r="H397" t="str">
        <f t="shared" si="18"/>
        <v>LOSS</v>
      </c>
      <c r="I397" t="s">
        <v>22</v>
      </c>
      <c r="J397" t="s">
        <v>104</v>
      </c>
      <c r="K397" t="s">
        <v>24</v>
      </c>
    </row>
    <row r="398" spans="1:11" x14ac:dyDescent="0.3">
      <c r="A398" t="s">
        <v>25</v>
      </c>
      <c r="B398" t="s">
        <v>22</v>
      </c>
      <c r="C398" t="str">
        <f t="shared" si="19"/>
        <v>IPL-2013</v>
      </c>
      <c r="D398">
        <f t="shared" si="20"/>
        <v>2013</v>
      </c>
      <c r="E398" s="1">
        <v>41418</v>
      </c>
      <c r="F398" t="s">
        <v>22</v>
      </c>
      <c r="G398" t="s">
        <v>18</v>
      </c>
      <c r="H398" t="str">
        <f t="shared" si="18"/>
        <v>LOSS</v>
      </c>
      <c r="I398" t="s">
        <v>25</v>
      </c>
      <c r="J398" t="s">
        <v>99</v>
      </c>
      <c r="K398" t="s">
        <v>30</v>
      </c>
    </row>
    <row r="399" spans="1:11" x14ac:dyDescent="0.3">
      <c r="A399" t="s">
        <v>17</v>
      </c>
      <c r="B399" t="s">
        <v>25</v>
      </c>
      <c r="C399" t="str">
        <f t="shared" si="19"/>
        <v>IPL-2013</v>
      </c>
      <c r="D399">
        <f t="shared" si="20"/>
        <v>2013</v>
      </c>
      <c r="E399" s="1">
        <v>41420</v>
      </c>
      <c r="F399" t="s">
        <v>25</v>
      </c>
      <c r="G399" t="s">
        <v>18</v>
      </c>
      <c r="H399" t="str">
        <f t="shared" si="18"/>
        <v>WIN</v>
      </c>
      <c r="I399" t="s">
        <v>25</v>
      </c>
      <c r="J399" t="s">
        <v>134</v>
      </c>
      <c r="K399" t="s">
        <v>30</v>
      </c>
    </row>
    <row r="400" spans="1:11" x14ac:dyDescent="0.3">
      <c r="A400" t="s">
        <v>25</v>
      </c>
      <c r="B400" t="s">
        <v>11</v>
      </c>
      <c r="C400" t="str">
        <f t="shared" si="19"/>
        <v>IPL-2014</v>
      </c>
      <c r="D400">
        <f t="shared" si="20"/>
        <v>2014</v>
      </c>
      <c r="E400" s="1">
        <v>41745</v>
      </c>
      <c r="F400" t="s">
        <v>11</v>
      </c>
      <c r="G400" t="s">
        <v>18</v>
      </c>
      <c r="H400" t="str">
        <f t="shared" si="18"/>
        <v>WIN</v>
      </c>
      <c r="I400" t="s">
        <v>11</v>
      </c>
      <c r="J400" t="s">
        <v>91</v>
      </c>
      <c r="K400" t="s">
        <v>204</v>
      </c>
    </row>
    <row r="401" spans="1:11" x14ac:dyDescent="0.3">
      <c r="A401" t="s">
        <v>21</v>
      </c>
      <c r="B401" t="s">
        <v>10</v>
      </c>
      <c r="C401" t="str">
        <f t="shared" si="19"/>
        <v>IPL-2014</v>
      </c>
      <c r="D401">
        <f t="shared" si="20"/>
        <v>2014</v>
      </c>
      <c r="E401" s="1">
        <v>41746</v>
      </c>
      <c r="F401" t="s">
        <v>10</v>
      </c>
      <c r="G401" t="s">
        <v>12</v>
      </c>
      <c r="H401" t="str">
        <f t="shared" si="18"/>
        <v>WIN</v>
      </c>
      <c r="I401" t="s">
        <v>10</v>
      </c>
      <c r="J401" t="s">
        <v>205</v>
      </c>
      <c r="K401" t="s">
        <v>206</v>
      </c>
    </row>
    <row r="402" spans="1:11" x14ac:dyDescent="0.3">
      <c r="A402" t="s">
        <v>187</v>
      </c>
      <c r="B402" t="s">
        <v>22</v>
      </c>
      <c r="C402" t="str">
        <f t="shared" si="19"/>
        <v>IPL-2014</v>
      </c>
      <c r="D402">
        <f t="shared" si="20"/>
        <v>2014</v>
      </c>
      <c r="E402" s="1">
        <v>41747</v>
      </c>
      <c r="F402" t="s">
        <v>22</v>
      </c>
      <c r="G402" t="s">
        <v>12</v>
      </c>
      <c r="H402" t="str">
        <f t="shared" si="18"/>
        <v>WIN</v>
      </c>
      <c r="I402" t="s">
        <v>22</v>
      </c>
      <c r="J402" t="s">
        <v>166</v>
      </c>
      <c r="K402" t="s">
        <v>204</v>
      </c>
    </row>
    <row r="403" spans="1:11" x14ac:dyDescent="0.3">
      <c r="A403" t="s">
        <v>17</v>
      </c>
      <c r="B403" t="s">
        <v>16</v>
      </c>
      <c r="C403" t="str">
        <f t="shared" si="19"/>
        <v>IPL-2014</v>
      </c>
      <c r="D403">
        <f t="shared" si="20"/>
        <v>2014</v>
      </c>
      <c r="E403" s="1">
        <v>41747</v>
      </c>
      <c r="F403" t="s">
        <v>17</v>
      </c>
      <c r="G403" t="s">
        <v>18</v>
      </c>
      <c r="H403" t="str">
        <f t="shared" si="18"/>
        <v>LOSS</v>
      </c>
      <c r="I403" t="s">
        <v>16</v>
      </c>
      <c r="J403" t="s">
        <v>207</v>
      </c>
      <c r="K403" t="s">
        <v>204</v>
      </c>
    </row>
    <row r="404" spans="1:11" x14ac:dyDescent="0.3">
      <c r="A404" t="s">
        <v>11</v>
      </c>
      <c r="B404" t="s">
        <v>21</v>
      </c>
      <c r="C404" t="str">
        <f t="shared" si="19"/>
        <v>IPL-2014</v>
      </c>
      <c r="D404">
        <f t="shared" si="20"/>
        <v>2014</v>
      </c>
      <c r="E404" s="1">
        <v>41748</v>
      </c>
      <c r="F404" t="s">
        <v>11</v>
      </c>
      <c r="G404" t="s">
        <v>18</v>
      </c>
      <c r="H404" t="str">
        <f t="shared" si="18"/>
        <v>LOSS</v>
      </c>
      <c r="I404" t="s">
        <v>21</v>
      </c>
      <c r="J404" t="s">
        <v>86</v>
      </c>
      <c r="K404" t="s">
        <v>208</v>
      </c>
    </row>
    <row r="405" spans="1:11" x14ac:dyDescent="0.3">
      <c r="A405" t="s">
        <v>10</v>
      </c>
      <c r="B405" t="s">
        <v>25</v>
      </c>
      <c r="C405" t="str">
        <f t="shared" si="19"/>
        <v>IPL-2014</v>
      </c>
      <c r="D405">
        <f t="shared" si="20"/>
        <v>2014</v>
      </c>
      <c r="E405" s="1">
        <v>41748</v>
      </c>
      <c r="F405" t="s">
        <v>10</v>
      </c>
      <c r="G405" t="s">
        <v>12</v>
      </c>
      <c r="H405" t="str">
        <f t="shared" si="18"/>
        <v>WIN</v>
      </c>
      <c r="I405" t="s">
        <v>10</v>
      </c>
      <c r="J405" t="s">
        <v>200</v>
      </c>
      <c r="K405" t="s">
        <v>208</v>
      </c>
    </row>
    <row r="406" spans="1:11" x14ac:dyDescent="0.3">
      <c r="A406" t="s">
        <v>22</v>
      </c>
      <c r="B406" t="s">
        <v>16</v>
      </c>
      <c r="C406" t="str">
        <f t="shared" si="19"/>
        <v>IPL-2014</v>
      </c>
      <c r="D406">
        <f t="shared" si="20"/>
        <v>2014</v>
      </c>
      <c r="E406" s="1">
        <v>41749</v>
      </c>
      <c r="F406" t="s">
        <v>16</v>
      </c>
      <c r="G406" t="s">
        <v>12</v>
      </c>
      <c r="H406" t="str">
        <f t="shared" si="18"/>
        <v>WIN</v>
      </c>
      <c r="I406" t="s">
        <v>16</v>
      </c>
      <c r="J406" t="s">
        <v>207</v>
      </c>
      <c r="K406" t="s">
        <v>206</v>
      </c>
    </row>
    <row r="407" spans="1:11" x14ac:dyDescent="0.3">
      <c r="A407" t="s">
        <v>17</v>
      </c>
      <c r="B407" t="s">
        <v>21</v>
      </c>
      <c r="C407" t="str">
        <f t="shared" si="19"/>
        <v>IPL-2014</v>
      </c>
      <c r="D407">
        <f t="shared" si="20"/>
        <v>2014</v>
      </c>
      <c r="E407" s="1">
        <v>41750</v>
      </c>
      <c r="F407" t="s">
        <v>17</v>
      </c>
      <c r="G407" t="s">
        <v>18</v>
      </c>
      <c r="H407" t="str">
        <f t="shared" si="18"/>
        <v>WIN</v>
      </c>
      <c r="I407" t="s">
        <v>17</v>
      </c>
      <c r="J407" t="s">
        <v>68</v>
      </c>
      <c r="K407" t="s">
        <v>204</v>
      </c>
    </row>
    <row r="408" spans="1:11" x14ac:dyDescent="0.3">
      <c r="A408" t="s">
        <v>16</v>
      </c>
      <c r="B408" t="s">
        <v>187</v>
      </c>
      <c r="C408" t="str">
        <f t="shared" si="19"/>
        <v>IPL-2014</v>
      </c>
      <c r="D408">
        <f t="shared" si="20"/>
        <v>2014</v>
      </c>
      <c r="E408" s="1">
        <v>41751</v>
      </c>
      <c r="F408" t="s">
        <v>187</v>
      </c>
      <c r="G408" t="s">
        <v>12</v>
      </c>
      <c r="H408" t="str">
        <f t="shared" si="18"/>
        <v>LOSS</v>
      </c>
      <c r="I408" t="s">
        <v>16</v>
      </c>
      <c r="J408" t="s">
        <v>207</v>
      </c>
      <c r="K408" t="s">
        <v>206</v>
      </c>
    </row>
    <row r="409" spans="1:11" x14ac:dyDescent="0.3">
      <c r="A409" t="s">
        <v>22</v>
      </c>
      <c r="B409" t="s">
        <v>17</v>
      </c>
      <c r="C409" t="str">
        <f t="shared" si="19"/>
        <v>IPL-2014</v>
      </c>
      <c r="D409">
        <f t="shared" si="20"/>
        <v>2014</v>
      </c>
      <c r="E409" s="1">
        <v>41752</v>
      </c>
      <c r="F409" t="s">
        <v>22</v>
      </c>
      <c r="G409" t="s">
        <v>12</v>
      </c>
      <c r="H409" t="str">
        <f t="shared" si="18"/>
        <v>LOSS</v>
      </c>
      <c r="I409" t="s">
        <v>17</v>
      </c>
      <c r="J409" t="s">
        <v>167</v>
      </c>
      <c r="K409" t="s">
        <v>208</v>
      </c>
    </row>
    <row r="410" spans="1:11" x14ac:dyDescent="0.3">
      <c r="A410" t="s">
        <v>10</v>
      </c>
      <c r="B410" t="s">
        <v>11</v>
      </c>
      <c r="C410" t="str">
        <f t="shared" si="19"/>
        <v>IPL-2014</v>
      </c>
      <c r="D410">
        <f t="shared" si="20"/>
        <v>2014</v>
      </c>
      <c r="E410" s="1">
        <v>41753</v>
      </c>
      <c r="F410" t="s">
        <v>10</v>
      </c>
      <c r="G410" t="s">
        <v>12</v>
      </c>
      <c r="H410" t="str">
        <f t="shared" si="18"/>
        <v>LOSS</v>
      </c>
      <c r="I410" t="s">
        <v>11</v>
      </c>
      <c r="J410" t="s">
        <v>209</v>
      </c>
      <c r="K410" t="s">
        <v>206</v>
      </c>
    </row>
    <row r="411" spans="1:11" x14ac:dyDescent="0.3">
      <c r="A411" t="s">
        <v>187</v>
      </c>
      <c r="B411" t="s">
        <v>21</v>
      </c>
      <c r="C411" t="str">
        <f t="shared" si="19"/>
        <v>IPL-2014</v>
      </c>
      <c r="D411">
        <f t="shared" si="20"/>
        <v>2014</v>
      </c>
      <c r="E411" s="1">
        <v>41754</v>
      </c>
      <c r="F411" t="s">
        <v>187</v>
      </c>
      <c r="G411" t="s">
        <v>18</v>
      </c>
      <c r="H411" t="str">
        <f t="shared" si="18"/>
        <v>WIN</v>
      </c>
      <c r="I411" t="s">
        <v>187</v>
      </c>
      <c r="J411" t="s">
        <v>190</v>
      </c>
      <c r="K411" t="s">
        <v>208</v>
      </c>
    </row>
    <row r="412" spans="1:11" x14ac:dyDescent="0.3">
      <c r="A412" t="s">
        <v>17</v>
      </c>
      <c r="B412" t="s">
        <v>25</v>
      </c>
      <c r="C412" t="str">
        <f t="shared" si="19"/>
        <v>IPL-2014</v>
      </c>
      <c r="D412">
        <f t="shared" si="20"/>
        <v>2014</v>
      </c>
      <c r="E412" s="1">
        <v>41754</v>
      </c>
      <c r="F412" t="s">
        <v>25</v>
      </c>
      <c r="G412" t="s">
        <v>18</v>
      </c>
      <c r="H412" t="str">
        <f t="shared" si="18"/>
        <v>LOSS</v>
      </c>
      <c r="I412" t="s">
        <v>17</v>
      </c>
      <c r="J412" t="s">
        <v>210</v>
      </c>
      <c r="K412" t="s">
        <v>208</v>
      </c>
    </row>
    <row r="413" spans="1:11" x14ac:dyDescent="0.3">
      <c r="A413" t="s">
        <v>22</v>
      </c>
      <c r="B413" t="s">
        <v>10</v>
      </c>
      <c r="C413" t="str">
        <f t="shared" si="19"/>
        <v>IPL-2014</v>
      </c>
      <c r="D413">
        <f t="shared" si="20"/>
        <v>2014</v>
      </c>
      <c r="E413" s="1">
        <v>41755</v>
      </c>
      <c r="F413" t="s">
        <v>22</v>
      </c>
      <c r="G413" t="s">
        <v>12</v>
      </c>
      <c r="H413" t="str">
        <f t="shared" si="18"/>
        <v>WIN</v>
      </c>
      <c r="I413" t="s">
        <v>22</v>
      </c>
      <c r="J413" t="s">
        <v>211</v>
      </c>
      <c r="K413" t="s">
        <v>204</v>
      </c>
    </row>
    <row r="414" spans="1:11" x14ac:dyDescent="0.3">
      <c r="A414" t="s">
        <v>11</v>
      </c>
      <c r="B414" t="s">
        <v>16</v>
      </c>
      <c r="C414" t="str">
        <f t="shared" si="19"/>
        <v>IPL-2014</v>
      </c>
      <c r="D414">
        <f t="shared" si="20"/>
        <v>2014</v>
      </c>
      <c r="E414" s="1">
        <v>41755</v>
      </c>
      <c r="F414" t="s">
        <v>11</v>
      </c>
      <c r="G414" t="s">
        <v>12</v>
      </c>
      <c r="H414" t="str">
        <f t="shared" si="18"/>
        <v>LOSS</v>
      </c>
      <c r="I414" t="s">
        <v>16</v>
      </c>
      <c r="J414" t="s">
        <v>212</v>
      </c>
      <c r="K414" t="s">
        <v>204</v>
      </c>
    </row>
    <row r="415" spans="1:11" x14ac:dyDescent="0.3">
      <c r="A415" t="s">
        <v>187</v>
      </c>
      <c r="B415" t="s">
        <v>17</v>
      </c>
      <c r="C415" t="str">
        <f t="shared" si="19"/>
        <v>IPL-2014</v>
      </c>
      <c r="D415">
        <f t="shared" si="20"/>
        <v>2014</v>
      </c>
      <c r="E415" s="1">
        <v>41756</v>
      </c>
      <c r="F415" t="s">
        <v>187</v>
      </c>
      <c r="G415" t="s">
        <v>18</v>
      </c>
      <c r="H415" t="str">
        <f t="shared" si="18"/>
        <v>LOSS</v>
      </c>
      <c r="I415" t="s">
        <v>17</v>
      </c>
      <c r="J415" t="s">
        <v>97</v>
      </c>
      <c r="K415" t="s">
        <v>206</v>
      </c>
    </row>
    <row r="416" spans="1:11" x14ac:dyDescent="0.3">
      <c r="A416" t="s">
        <v>21</v>
      </c>
      <c r="B416" t="s">
        <v>25</v>
      </c>
      <c r="C416" t="str">
        <f t="shared" si="19"/>
        <v>IPL-2014</v>
      </c>
      <c r="D416">
        <f t="shared" si="20"/>
        <v>2014</v>
      </c>
      <c r="E416" s="1">
        <v>41756</v>
      </c>
      <c r="F416" t="s">
        <v>25</v>
      </c>
      <c r="G416" t="s">
        <v>18</v>
      </c>
      <c r="H416" t="str">
        <f t="shared" si="18"/>
        <v>LOSS</v>
      </c>
      <c r="I416" t="s">
        <v>21</v>
      </c>
      <c r="J416" t="s">
        <v>123</v>
      </c>
      <c r="K416" t="s">
        <v>206</v>
      </c>
    </row>
    <row r="417" spans="1:11" x14ac:dyDescent="0.3">
      <c r="A417" t="s">
        <v>16</v>
      </c>
      <c r="B417" t="s">
        <v>10</v>
      </c>
      <c r="C417" t="str">
        <f t="shared" si="19"/>
        <v>IPL-2014</v>
      </c>
      <c r="D417">
        <f t="shared" si="20"/>
        <v>2014</v>
      </c>
      <c r="E417" s="1">
        <v>41757</v>
      </c>
      <c r="F417" t="s">
        <v>16</v>
      </c>
      <c r="G417" t="s">
        <v>12</v>
      </c>
      <c r="H417" t="str">
        <f t="shared" si="18"/>
        <v>WIN</v>
      </c>
      <c r="I417" t="s">
        <v>16</v>
      </c>
      <c r="J417" t="s">
        <v>212</v>
      </c>
      <c r="K417" t="s">
        <v>208</v>
      </c>
    </row>
    <row r="418" spans="1:11" x14ac:dyDescent="0.3">
      <c r="A418" t="s">
        <v>11</v>
      </c>
      <c r="B418" t="s">
        <v>22</v>
      </c>
      <c r="C418" t="str">
        <f t="shared" si="19"/>
        <v>IPL-2014</v>
      </c>
      <c r="D418">
        <f t="shared" si="20"/>
        <v>2014</v>
      </c>
      <c r="E418" s="1">
        <v>41758</v>
      </c>
      <c r="F418" t="s">
        <v>22</v>
      </c>
      <c r="G418" t="s">
        <v>18</v>
      </c>
      <c r="H418" t="str">
        <f t="shared" si="18"/>
        <v>LOSS</v>
      </c>
      <c r="J418" t="s">
        <v>191</v>
      </c>
      <c r="K418" t="s">
        <v>204</v>
      </c>
    </row>
    <row r="419" spans="1:11" x14ac:dyDescent="0.3">
      <c r="A419" t="s">
        <v>25</v>
      </c>
      <c r="B419" t="s">
        <v>187</v>
      </c>
      <c r="C419" t="str">
        <f t="shared" si="19"/>
        <v>IPL-2014</v>
      </c>
      <c r="D419">
        <f t="shared" si="20"/>
        <v>2014</v>
      </c>
      <c r="E419" s="1">
        <v>41759</v>
      </c>
      <c r="F419" t="s">
        <v>25</v>
      </c>
      <c r="G419" t="s">
        <v>12</v>
      </c>
      <c r="H419" t="str">
        <f t="shared" si="18"/>
        <v>LOSS</v>
      </c>
      <c r="I419" t="s">
        <v>187</v>
      </c>
      <c r="J419" t="s">
        <v>213</v>
      </c>
      <c r="K419" t="s">
        <v>208</v>
      </c>
    </row>
    <row r="420" spans="1:11" x14ac:dyDescent="0.3">
      <c r="A420" t="s">
        <v>17</v>
      </c>
      <c r="B420" t="s">
        <v>11</v>
      </c>
      <c r="C420" t="str">
        <f t="shared" si="19"/>
        <v>IPL-2014</v>
      </c>
      <c r="D420">
        <f t="shared" si="20"/>
        <v>2014</v>
      </c>
      <c r="E420" s="1">
        <v>41761</v>
      </c>
      <c r="F420" t="s">
        <v>17</v>
      </c>
      <c r="G420" t="s">
        <v>18</v>
      </c>
      <c r="H420" t="str">
        <f t="shared" si="18"/>
        <v>WIN</v>
      </c>
      <c r="I420" t="s">
        <v>17</v>
      </c>
      <c r="J420" t="s">
        <v>167</v>
      </c>
      <c r="K420" t="s">
        <v>201</v>
      </c>
    </row>
    <row r="421" spans="1:11" x14ac:dyDescent="0.3">
      <c r="A421" t="s">
        <v>25</v>
      </c>
      <c r="B421" t="s">
        <v>16</v>
      </c>
      <c r="C421" t="str">
        <f t="shared" si="19"/>
        <v>IPL-2014</v>
      </c>
      <c r="D421">
        <f t="shared" si="20"/>
        <v>2014</v>
      </c>
      <c r="E421" s="1">
        <v>41762</v>
      </c>
      <c r="F421" t="s">
        <v>16</v>
      </c>
      <c r="G421" t="s">
        <v>18</v>
      </c>
      <c r="H421" t="str">
        <f t="shared" si="18"/>
        <v>LOSS</v>
      </c>
      <c r="I421" t="s">
        <v>25</v>
      </c>
      <c r="J421" t="s">
        <v>214</v>
      </c>
      <c r="K421" t="s">
        <v>27</v>
      </c>
    </row>
    <row r="422" spans="1:11" x14ac:dyDescent="0.3">
      <c r="A422" t="s">
        <v>21</v>
      </c>
      <c r="B422" t="s">
        <v>22</v>
      </c>
      <c r="C422" t="str">
        <f t="shared" si="19"/>
        <v>IPL-2014</v>
      </c>
      <c r="D422">
        <f t="shared" si="20"/>
        <v>2014</v>
      </c>
      <c r="E422" s="1">
        <v>41762</v>
      </c>
      <c r="F422" t="s">
        <v>22</v>
      </c>
      <c r="G422" t="s">
        <v>12</v>
      </c>
      <c r="H422" t="str">
        <f t="shared" si="18"/>
        <v>WIN</v>
      </c>
      <c r="I422" t="s">
        <v>22</v>
      </c>
      <c r="J422" t="s">
        <v>215</v>
      </c>
      <c r="K422" t="s">
        <v>24</v>
      </c>
    </row>
    <row r="423" spans="1:11" x14ac:dyDescent="0.3">
      <c r="A423" t="s">
        <v>10</v>
      </c>
      <c r="B423" t="s">
        <v>187</v>
      </c>
      <c r="C423" t="str">
        <f t="shared" si="19"/>
        <v>IPL-2014</v>
      </c>
      <c r="D423">
        <f t="shared" si="20"/>
        <v>2014</v>
      </c>
      <c r="E423" s="1">
        <v>41763</v>
      </c>
      <c r="F423" t="s">
        <v>10</v>
      </c>
      <c r="G423" t="s">
        <v>12</v>
      </c>
      <c r="H423" t="str">
        <f t="shared" si="18"/>
        <v>WIN</v>
      </c>
      <c r="I423" t="s">
        <v>10</v>
      </c>
      <c r="J423" t="s">
        <v>79</v>
      </c>
      <c r="K423" t="s">
        <v>14</v>
      </c>
    </row>
    <row r="424" spans="1:11" x14ac:dyDescent="0.3">
      <c r="A424" t="s">
        <v>21</v>
      </c>
      <c r="B424" t="s">
        <v>17</v>
      </c>
      <c r="C424" t="str">
        <f t="shared" si="19"/>
        <v>IPL-2014</v>
      </c>
      <c r="D424">
        <f t="shared" si="20"/>
        <v>2014</v>
      </c>
      <c r="E424" s="1">
        <v>41764</v>
      </c>
      <c r="F424" t="s">
        <v>17</v>
      </c>
      <c r="G424" t="s">
        <v>12</v>
      </c>
      <c r="H424" t="str">
        <f t="shared" si="18"/>
        <v>WIN</v>
      </c>
      <c r="I424" t="s">
        <v>17</v>
      </c>
      <c r="J424" t="s">
        <v>97</v>
      </c>
      <c r="K424" t="s">
        <v>24</v>
      </c>
    </row>
    <row r="425" spans="1:11" x14ac:dyDescent="0.3">
      <c r="A425" t="s">
        <v>22</v>
      </c>
      <c r="B425" t="s">
        <v>11</v>
      </c>
      <c r="C425" t="str">
        <f t="shared" si="19"/>
        <v>IPL-2014</v>
      </c>
      <c r="D425">
        <f t="shared" si="20"/>
        <v>2014</v>
      </c>
      <c r="E425" s="1">
        <v>41764</v>
      </c>
      <c r="F425" t="s">
        <v>11</v>
      </c>
      <c r="G425" t="s">
        <v>12</v>
      </c>
      <c r="H425" t="str">
        <f t="shared" si="18"/>
        <v>LOSS</v>
      </c>
      <c r="I425" t="s">
        <v>22</v>
      </c>
      <c r="J425" t="s">
        <v>211</v>
      </c>
      <c r="K425" t="s">
        <v>111</v>
      </c>
    </row>
    <row r="426" spans="1:11" x14ac:dyDescent="0.3">
      <c r="A426" t="s">
        <v>25</v>
      </c>
      <c r="B426" t="s">
        <v>10</v>
      </c>
      <c r="C426" t="str">
        <f t="shared" si="19"/>
        <v>IPL-2014</v>
      </c>
      <c r="D426">
        <f t="shared" si="20"/>
        <v>2014</v>
      </c>
      <c r="E426" s="1">
        <v>41765</v>
      </c>
      <c r="F426" t="s">
        <v>10</v>
      </c>
      <c r="G426" t="s">
        <v>12</v>
      </c>
      <c r="H426" t="str">
        <f t="shared" si="18"/>
        <v>LOSS</v>
      </c>
      <c r="I426" t="s">
        <v>25</v>
      </c>
      <c r="J426" t="s">
        <v>93</v>
      </c>
      <c r="K426" t="s">
        <v>27</v>
      </c>
    </row>
    <row r="427" spans="1:11" x14ac:dyDescent="0.3">
      <c r="A427" t="s">
        <v>16</v>
      </c>
      <c r="B427" t="s">
        <v>17</v>
      </c>
      <c r="C427" t="str">
        <f t="shared" si="19"/>
        <v>IPL-2014</v>
      </c>
      <c r="D427">
        <f t="shared" si="20"/>
        <v>2014</v>
      </c>
      <c r="E427" s="1">
        <v>41766</v>
      </c>
      <c r="F427" t="s">
        <v>17</v>
      </c>
      <c r="G427" t="s">
        <v>12</v>
      </c>
      <c r="H427" t="str">
        <f t="shared" si="18"/>
        <v>LOSS</v>
      </c>
      <c r="I427" t="s">
        <v>16</v>
      </c>
      <c r="J427" t="s">
        <v>207</v>
      </c>
      <c r="K427" t="s">
        <v>113</v>
      </c>
    </row>
    <row r="428" spans="1:11" x14ac:dyDescent="0.3">
      <c r="A428" t="s">
        <v>21</v>
      </c>
      <c r="B428" t="s">
        <v>11</v>
      </c>
      <c r="C428" t="str">
        <f t="shared" si="19"/>
        <v>IPL-2014</v>
      </c>
      <c r="D428">
        <f t="shared" si="20"/>
        <v>2014</v>
      </c>
      <c r="E428" s="1">
        <v>41766</v>
      </c>
      <c r="F428" t="s">
        <v>21</v>
      </c>
      <c r="G428" t="s">
        <v>18</v>
      </c>
      <c r="H428" t="str">
        <f t="shared" si="18"/>
        <v>LOSS</v>
      </c>
      <c r="I428" t="s">
        <v>11</v>
      </c>
      <c r="J428" t="s">
        <v>92</v>
      </c>
      <c r="K428" t="s">
        <v>24</v>
      </c>
    </row>
    <row r="429" spans="1:11" x14ac:dyDescent="0.3">
      <c r="A429" t="s">
        <v>22</v>
      </c>
      <c r="B429" t="s">
        <v>187</v>
      </c>
      <c r="C429" t="str">
        <f t="shared" si="19"/>
        <v>IPL-2014</v>
      </c>
      <c r="D429">
        <f t="shared" si="20"/>
        <v>2014</v>
      </c>
      <c r="E429" s="1">
        <v>41767</v>
      </c>
      <c r="F429" t="s">
        <v>22</v>
      </c>
      <c r="G429" t="s">
        <v>12</v>
      </c>
      <c r="H429" t="str">
        <f t="shared" si="18"/>
        <v>LOSS</v>
      </c>
      <c r="I429" t="s">
        <v>187</v>
      </c>
      <c r="J429" t="s">
        <v>213</v>
      </c>
      <c r="K429" t="s">
        <v>111</v>
      </c>
    </row>
    <row r="430" spans="1:11" x14ac:dyDescent="0.3">
      <c r="A430" t="s">
        <v>10</v>
      </c>
      <c r="B430" t="s">
        <v>16</v>
      </c>
      <c r="C430" t="str">
        <f t="shared" si="19"/>
        <v>IPL-2014</v>
      </c>
      <c r="D430">
        <f t="shared" si="20"/>
        <v>2014</v>
      </c>
      <c r="E430" s="1">
        <v>41768</v>
      </c>
      <c r="F430" t="s">
        <v>10</v>
      </c>
      <c r="G430" t="s">
        <v>12</v>
      </c>
      <c r="H430" t="str">
        <f t="shared" si="18"/>
        <v>LOSS</v>
      </c>
      <c r="I430" t="s">
        <v>16</v>
      </c>
      <c r="J430" t="s">
        <v>212</v>
      </c>
      <c r="K430" t="s">
        <v>14</v>
      </c>
    </row>
    <row r="431" spans="1:11" x14ac:dyDescent="0.3">
      <c r="A431" t="s">
        <v>25</v>
      </c>
      <c r="B431" t="s">
        <v>17</v>
      </c>
      <c r="C431" t="str">
        <f t="shared" si="19"/>
        <v>IPL-2014</v>
      </c>
      <c r="D431">
        <f t="shared" si="20"/>
        <v>2014</v>
      </c>
      <c r="E431" s="1">
        <v>41769</v>
      </c>
      <c r="F431" t="s">
        <v>17</v>
      </c>
      <c r="G431" t="s">
        <v>12</v>
      </c>
      <c r="H431" t="str">
        <f t="shared" si="18"/>
        <v>WIN</v>
      </c>
      <c r="I431" t="s">
        <v>17</v>
      </c>
      <c r="J431" t="s">
        <v>97</v>
      </c>
      <c r="K431" t="s">
        <v>27</v>
      </c>
    </row>
    <row r="432" spans="1:11" x14ac:dyDescent="0.3">
      <c r="A432" t="s">
        <v>21</v>
      </c>
      <c r="B432" t="s">
        <v>187</v>
      </c>
      <c r="C432" t="str">
        <f t="shared" si="19"/>
        <v>IPL-2014</v>
      </c>
      <c r="D432">
        <f t="shared" si="20"/>
        <v>2014</v>
      </c>
      <c r="E432" s="1">
        <v>41769</v>
      </c>
      <c r="F432" t="s">
        <v>187</v>
      </c>
      <c r="G432" t="s">
        <v>12</v>
      </c>
      <c r="H432" t="str">
        <f t="shared" si="18"/>
        <v>WIN</v>
      </c>
      <c r="I432" t="s">
        <v>187</v>
      </c>
      <c r="J432" t="s">
        <v>148</v>
      </c>
      <c r="K432" t="s">
        <v>24</v>
      </c>
    </row>
    <row r="433" spans="1:11" x14ac:dyDescent="0.3">
      <c r="A433" t="s">
        <v>10</v>
      </c>
      <c r="B433" t="s">
        <v>22</v>
      </c>
      <c r="C433" t="str">
        <f t="shared" si="19"/>
        <v>IPL-2014</v>
      </c>
      <c r="D433">
        <f t="shared" si="20"/>
        <v>2014</v>
      </c>
      <c r="E433" s="1">
        <v>41770</v>
      </c>
      <c r="F433" t="s">
        <v>10</v>
      </c>
      <c r="G433" t="s">
        <v>18</v>
      </c>
      <c r="H433" t="str">
        <f t="shared" si="18"/>
        <v>LOSS</v>
      </c>
      <c r="I433" t="s">
        <v>22</v>
      </c>
      <c r="J433" t="s">
        <v>191</v>
      </c>
      <c r="K433" t="s">
        <v>14</v>
      </c>
    </row>
    <row r="434" spans="1:11" x14ac:dyDescent="0.3">
      <c r="A434" t="s">
        <v>16</v>
      </c>
      <c r="B434" t="s">
        <v>11</v>
      </c>
      <c r="C434" t="str">
        <f t="shared" si="19"/>
        <v>IPL-2014</v>
      </c>
      <c r="D434">
        <f t="shared" si="20"/>
        <v>2014</v>
      </c>
      <c r="E434" s="1">
        <v>41770</v>
      </c>
      <c r="F434" t="s">
        <v>11</v>
      </c>
      <c r="G434" t="s">
        <v>12</v>
      </c>
      <c r="H434" t="str">
        <f t="shared" si="18"/>
        <v>WIN</v>
      </c>
      <c r="I434" t="s">
        <v>11</v>
      </c>
      <c r="J434" t="s">
        <v>92</v>
      </c>
      <c r="K434" t="s">
        <v>113</v>
      </c>
    </row>
    <row r="435" spans="1:11" x14ac:dyDescent="0.3">
      <c r="A435" t="s">
        <v>187</v>
      </c>
      <c r="B435" t="s">
        <v>25</v>
      </c>
      <c r="C435" t="str">
        <f t="shared" si="19"/>
        <v>IPL-2014</v>
      </c>
      <c r="D435">
        <f t="shared" si="20"/>
        <v>2014</v>
      </c>
      <c r="E435" s="1">
        <v>41771</v>
      </c>
      <c r="F435" t="s">
        <v>187</v>
      </c>
      <c r="G435" t="s">
        <v>18</v>
      </c>
      <c r="H435" t="str">
        <f t="shared" si="18"/>
        <v>LOSS</v>
      </c>
      <c r="I435" t="s">
        <v>25</v>
      </c>
      <c r="J435" t="s">
        <v>125</v>
      </c>
      <c r="K435" t="s">
        <v>34</v>
      </c>
    </row>
    <row r="436" spans="1:11" x14ac:dyDescent="0.3">
      <c r="A436" t="s">
        <v>10</v>
      </c>
      <c r="B436" t="s">
        <v>21</v>
      </c>
      <c r="C436" t="str">
        <f t="shared" si="19"/>
        <v>IPL-2014</v>
      </c>
      <c r="D436">
        <f t="shared" si="20"/>
        <v>2014</v>
      </c>
      <c r="E436" s="1">
        <v>41772</v>
      </c>
      <c r="F436" t="s">
        <v>21</v>
      </c>
      <c r="G436" t="s">
        <v>12</v>
      </c>
      <c r="H436" t="str">
        <f t="shared" si="18"/>
        <v>LOSS</v>
      </c>
      <c r="I436" t="s">
        <v>10</v>
      </c>
      <c r="J436" t="s">
        <v>88</v>
      </c>
      <c r="K436" t="s">
        <v>14</v>
      </c>
    </row>
    <row r="437" spans="1:11" x14ac:dyDescent="0.3">
      <c r="A437" t="s">
        <v>17</v>
      </c>
      <c r="B437" t="s">
        <v>22</v>
      </c>
      <c r="C437" t="str">
        <f t="shared" si="19"/>
        <v>IPL-2014</v>
      </c>
      <c r="D437">
        <f t="shared" si="20"/>
        <v>2014</v>
      </c>
      <c r="E437" s="1">
        <v>41772</v>
      </c>
      <c r="F437" t="s">
        <v>22</v>
      </c>
      <c r="G437" t="s">
        <v>18</v>
      </c>
      <c r="H437" t="str">
        <f t="shared" si="18"/>
        <v>LOSS</v>
      </c>
      <c r="I437" t="s">
        <v>17</v>
      </c>
      <c r="J437" t="s">
        <v>167</v>
      </c>
      <c r="K437" t="s">
        <v>201</v>
      </c>
    </row>
    <row r="438" spans="1:11" x14ac:dyDescent="0.3">
      <c r="A438" t="s">
        <v>11</v>
      </c>
      <c r="B438" t="s">
        <v>25</v>
      </c>
      <c r="C438" t="str">
        <f t="shared" si="19"/>
        <v>IPL-2014</v>
      </c>
      <c r="D438">
        <f t="shared" si="20"/>
        <v>2014</v>
      </c>
      <c r="E438" s="1">
        <v>41773</v>
      </c>
      <c r="F438" t="s">
        <v>11</v>
      </c>
      <c r="G438" t="s">
        <v>12</v>
      </c>
      <c r="H438" t="str">
        <f t="shared" si="18"/>
        <v>WIN</v>
      </c>
      <c r="I438" t="s">
        <v>11</v>
      </c>
      <c r="J438" t="s">
        <v>116</v>
      </c>
      <c r="K438" t="s">
        <v>113</v>
      </c>
    </row>
    <row r="439" spans="1:11" x14ac:dyDescent="0.3">
      <c r="A439" t="s">
        <v>187</v>
      </c>
      <c r="B439" t="s">
        <v>16</v>
      </c>
      <c r="C439" t="str">
        <f t="shared" si="19"/>
        <v>IPL-2014</v>
      </c>
      <c r="D439">
        <f t="shared" si="20"/>
        <v>2014</v>
      </c>
      <c r="E439" s="1">
        <v>41773</v>
      </c>
      <c r="F439" t="s">
        <v>16</v>
      </c>
      <c r="G439" t="s">
        <v>12</v>
      </c>
      <c r="H439" t="str">
        <f t="shared" si="18"/>
        <v>WIN</v>
      </c>
      <c r="I439" t="s">
        <v>16</v>
      </c>
      <c r="J439" t="s">
        <v>161</v>
      </c>
      <c r="K439" t="s">
        <v>34</v>
      </c>
    </row>
    <row r="440" spans="1:11" x14ac:dyDescent="0.3">
      <c r="A440" t="s">
        <v>22</v>
      </c>
      <c r="B440" t="s">
        <v>21</v>
      </c>
      <c r="C440" t="str">
        <f t="shared" si="19"/>
        <v>IPL-2014</v>
      </c>
      <c r="D440">
        <f t="shared" si="20"/>
        <v>2014</v>
      </c>
      <c r="E440" s="1">
        <v>41774</v>
      </c>
      <c r="F440" t="s">
        <v>21</v>
      </c>
      <c r="G440" t="s">
        <v>12</v>
      </c>
      <c r="H440" t="str">
        <f t="shared" si="18"/>
        <v>LOSS</v>
      </c>
      <c r="I440" t="s">
        <v>22</v>
      </c>
      <c r="J440" t="s">
        <v>166</v>
      </c>
      <c r="K440" t="s">
        <v>111</v>
      </c>
    </row>
    <row r="441" spans="1:11" x14ac:dyDescent="0.3">
      <c r="A441" t="s">
        <v>17</v>
      </c>
      <c r="B441" t="s">
        <v>10</v>
      </c>
      <c r="C441" t="str">
        <f t="shared" si="19"/>
        <v>IPL-2014</v>
      </c>
      <c r="D441">
        <f t="shared" si="20"/>
        <v>2014</v>
      </c>
      <c r="E441" s="1">
        <v>41777</v>
      </c>
      <c r="F441" t="s">
        <v>17</v>
      </c>
      <c r="G441" t="s">
        <v>18</v>
      </c>
      <c r="H441" t="str">
        <f t="shared" si="18"/>
        <v>LOSS</v>
      </c>
      <c r="I441" t="s">
        <v>10</v>
      </c>
      <c r="J441" t="s">
        <v>79</v>
      </c>
      <c r="K441" t="s">
        <v>201</v>
      </c>
    </row>
    <row r="442" spans="1:11" x14ac:dyDescent="0.3">
      <c r="A442" t="s">
        <v>187</v>
      </c>
      <c r="B442" t="s">
        <v>11</v>
      </c>
      <c r="C442" t="str">
        <f t="shared" si="19"/>
        <v>IPL-2014</v>
      </c>
      <c r="D442">
        <f t="shared" si="20"/>
        <v>2014</v>
      </c>
      <c r="E442" s="1">
        <v>41777</v>
      </c>
      <c r="F442" t="s">
        <v>187</v>
      </c>
      <c r="G442" t="s">
        <v>18</v>
      </c>
      <c r="H442" t="str">
        <f t="shared" si="18"/>
        <v>LOSS</v>
      </c>
      <c r="I442" t="s">
        <v>11</v>
      </c>
      <c r="J442" t="s">
        <v>185</v>
      </c>
      <c r="K442" t="s">
        <v>34</v>
      </c>
    </row>
    <row r="443" spans="1:11" x14ac:dyDescent="0.3">
      <c r="A443" t="s">
        <v>22</v>
      </c>
      <c r="B443" t="s">
        <v>25</v>
      </c>
      <c r="C443" t="str">
        <f t="shared" si="19"/>
        <v>IPL-2014</v>
      </c>
      <c r="D443">
        <f t="shared" si="20"/>
        <v>2014</v>
      </c>
      <c r="E443" s="1">
        <v>41778</v>
      </c>
      <c r="F443" t="s">
        <v>25</v>
      </c>
      <c r="G443" t="s">
        <v>18</v>
      </c>
      <c r="H443" t="str">
        <f t="shared" si="18"/>
        <v>WIN</v>
      </c>
      <c r="I443" t="s">
        <v>25</v>
      </c>
      <c r="J443" t="s">
        <v>19</v>
      </c>
      <c r="K443" t="s">
        <v>111</v>
      </c>
    </row>
    <row r="444" spans="1:11" x14ac:dyDescent="0.3">
      <c r="A444" t="s">
        <v>21</v>
      </c>
      <c r="B444" t="s">
        <v>16</v>
      </c>
      <c r="C444" t="str">
        <f t="shared" si="19"/>
        <v>IPL-2014</v>
      </c>
      <c r="D444">
        <f t="shared" si="20"/>
        <v>2014</v>
      </c>
      <c r="E444" s="1">
        <v>41778</v>
      </c>
      <c r="F444" t="s">
        <v>16</v>
      </c>
      <c r="G444" t="s">
        <v>12</v>
      </c>
      <c r="H444" t="str">
        <f t="shared" si="18"/>
        <v>WIN</v>
      </c>
      <c r="I444" t="s">
        <v>16</v>
      </c>
      <c r="J444" t="s">
        <v>216</v>
      </c>
      <c r="K444" t="s">
        <v>24</v>
      </c>
    </row>
    <row r="445" spans="1:11" x14ac:dyDescent="0.3">
      <c r="A445" t="s">
        <v>11</v>
      </c>
      <c r="B445" t="s">
        <v>17</v>
      </c>
      <c r="C445" t="str">
        <f t="shared" si="19"/>
        <v>IPL-2014</v>
      </c>
      <c r="D445">
        <f t="shared" si="20"/>
        <v>2014</v>
      </c>
      <c r="E445" s="1">
        <v>41779</v>
      </c>
      <c r="F445" t="s">
        <v>11</v>
      </c>
      <c r="G445" t="s">
        <v>12</v>
      </c>
      <c r="H445" t="str">
        <f t="shared" si="18"/>
        <v>WIN</v>
      </c>
      <c r="I445" t="s">
        <v>11</v>
      </c>
      <c r="J445" t="s">
        <v>116</v>
      </c>
      <c r="K445" t="s">
        <v>30</v>
      </c>
    </row>
    <row r="446" spans="1:11" x14ac:dyDescent="0.3">
      <c r="A446" t="s">
        <v>187</v>
      </c>
      <c r="B446" t="s">
        <v>10</v>
      </c>
      <c r="C446" t="str">
        <f t="shared" si="19"/>
        <v>IPL-2014</v>
      </c>
      <c r="D446">
        <f t="shared" si="20"/>
        <v>2014</v>
      </c>
      <c r="E446" s="1">
        <v>41779</v>
      </c>
      <c r="F446" t="s">
        <v>10</v>
      </c>
      <c r="G446" t="s">
        <v>18</v>
      </c>
      <c r="H446" t="str">
        <f t="shared" si="18"/>
        <v>LOSS</v>
      </c>
      <c r="I446" t="s">
        <v>187</v>
      </c>
      <c r="J446" t="s">
        <v>121</v>
      </c>
      <c r="K446" t="s">
        <v>34</v>
      </c>
    </row>
    <row r="447" spans="1:11" x14ac:dyDescent="0.3">
      <c r="A447" t="s">
        <v>16</v>
      </c>
      <c r="B447" t="s">
        <v>25</v>
      </c>
      <c r="C447" t="str">
        <f t="shared" si="19"/>
        <v>IPL-2014</v>
      </c>
      <c r="D447">
        <f t="shared" si="20"/>
        <v>2014</v>
      </c>
      <c r="E447" s="1">
        <v>41780</v>
      </c>
      <c r="F447" t="s">
        <v>25</v>
      </c>
      <c r="G447" t="s">
        <v>12</v>
      </c>
      <c r="H447" t="str">
        <f t="shared" si="18"/>
        <v>WIN</v>
      </c>
      <c r="I447" t="s">
        <v>25</v>
      </c>
      <c r="J447" t="s">
        <v>217</v>
      </c>
      <c r="K447" t="s">
        <v>20</v>
      </c>
    </row>
    <row r="448" spans="1:11" x14ac:dyDescent="0.3">
      <c r="A448" t="s">
        <v>11</v>
      </c>
      <c r="B448" t="s">
        <v>10</v>
      </c>
      <c r="C448" t="str">
        <f t="shared" si="19"/>
        <v>IPL-2014</v>
      </c>
      <c r="D448">
        <f t="shared" si="20"/>
        <v>2014</v>
      </c>
      <c r="E448" s="1">
        <v>41781</v>
      </c>
      <c r="F448" t="s">
        <v>10</v>
      </c>
      <c r="G448" t="s">
        <v>12</v>
      </c>
      <c r="H448" t="str">
        <f t="shared" si="18"/>
        <v>LOSS</v>
      </c>
      <c r="I448" t="s">
        <v>11</v>
      </c>
      <c r="J448" t="s">
        <v>116</v>
      </c>
      <c r="K448" t="s">
        <v>30</v>
      </c>
    </row>
    <row r="449" spans="1:11" x14ac:dyDescent="0.3">
      <c r="A449" t="s">
        <v>17</v>
      </c>
      <c r="B449" t="s">
        <v>187</v>
      </c>
      <c r="C449" t="str">
        <f t="shared" si="19"/>
        <v>IPL-2014</v>
      </c>
      <c r="D449">
        <f t="shared" si="20"/>
        <v>2014</v>
      </c>
      <c r="E449" s="1">
        <v>41781</v>
      </c>
      <c r="F449" t="s">
        <v>187</v>
      </c>
      <c r="G449" t="s">
        <v>12</v>
      </c>
      <c r="H449" t="str">
        <f t="shared" si="18"/>
        <v>WIN</v>
      </c>
      <c r="I449" t="s">
        <v>187</v>
      </c>
      <c r="J449" t="s">
        <v>121</v>
      </c>
      <c r="K449" t="s">
        <v>201</v>
      </c>
    </row>
    <row r="450" spans="1:11" x14ac:dyDescent="0.3">
      <c r="A450" t="s">
        <v>16</v>
      </c>
      <c r="B450" t="s">
        <v>22</v>
      </c>
      <c r="C450" t="str">
        <f t="shared" si="19"/>
        <v>IPL-2014</v>
      </c>
      <c r="D450">
        <f t="shared" si="20"/>
        <v>2014</v>
      </c>
      <c r="E450" s="1">
        <v>41782</v>
      </c>
      <c r="F450" t="s">
        <v>22</v>
      </c>
      <c r="G450" t="s">
        <v>12</v>
      </c>
      <c r="H450" t="str">
        <f t="shared" ref="H450:H513" si="21">IF(F450=I450,"WIN","LOSS")</f>
        <v>LOSS</v>
      </c>
      <c r="I450" t="s">
        <v>16</v>
      </c>
      <c r="J450" t="s">
        <v>47</v>
      </c>
      <c r="K450" t="s">
        <v>20</v>
      </c>
    </row>
    <row r="451" spans="1:11" x14ac:dyDescent="0.3">
      <c r="A451" t="s">
        <v>25</v>
      </c>
      <c r="B451" t="s">
        <v>21</v>
      </c>
      <c r="C451" t="str">
        <f t="shared" ref="C451:C514" si="22">_xlfn.CONCAT("IPL-",D451)</f>
        <v>IPL-2014</v>
      </c>
      <c r="D451">
        <f t="shared" ref="D451:D514" si="23">YEAR(E451)</f>
        <v>2014</v>
      </c>
      <c r="E451" s="1">
        <v>41782</v>
      </c>
      <c r="F451" t="s">
        <v>21</v>
      </c>
      <c r="G451" t="s">
        <v>12</v>
      </c>
      <c r="H451" t="str">
        <f t="shared" si="21"/>
        <v>LOSS</v>
      </c>
      <c r="I451" t="s">
        <v>25</v>
      </c>
      <c r="J451" t="s">
        <v>19</v>
      </c>
      <c r="K451" t="s">
        <v>27</v>
      </c>
    </row>
    <row r="452" spans="1:11" x14ac:dyDescent="0.3">
      <c r="A452" t="s">
        <v>10</v>
      </c>
      <c r="B452" t="s">
        <v>17</v>
      </c>
      <c r="C452" t="str">
        <f t="shared" si="22"/>
        <v>IPL-2014</v>
      </c>
      <c r="D452">
        <f t="shared" si="23"/>
        <v>2014</v>
      </c>
      <c r="E452" s="1">
        <v>41783</v>
      </c>
      <c r="F452" t="s">
        <v>17</v>
      </c>
      <c r="G452" t="s">
        <v>12</v>
      </c>
      <c r="H452" t="str">
        <f t="shared" si="21"/>
        <v>WIN</v>
      </c>
      <c r="I452" t="s">
        <v>17</v>
      </c>
      <c r="J452" t="s">
        <v>43</v>
      </c>
      <c r="K452" t="s">
        <v>14</v>
      </c>
    </row>
    <row r="453" spans="1:11" x14ac:dyDescent="0.3">
      <c r="A453" t="s">
        <v>11</v>
      </c>
      <c r="B453" t="s">
        <v>187</v>
      </c>
      <c r="C453" t="str">
        <f t="shared" si="22"/>
        <v>IPL-2014</v>
      </c>
      <c r="D453">
        <f t="shared" si="23"/>
        <v>2014</v>
      </c>
      <c r="E453" s="1">
        <v>41783</v>
      </c>
      <c r="F453" t="s">
        <v>11</v>
      </c>
      <c r="G453" t="s">
        <v>12</v>
      </c>
      <c r="H453" t="str">
        <f t="shared" si="21"/>
        <v>WIN</v>
      </c>
      <c r="I453" t="s">
        <v>11</v>
      </c>
      <c r="J453" t="s">
        <v>37</v>
      </c>
      <c r="K453" t="s">
        <v>30</v>
      </c>
    </row>
    <row r="454" spans="1:11" x14ac:dyDescent="0.3">
      <c r="A454" t="s">
        <v>16</v>
      </c>
      <c r="B454" t="s">
        <v>21</v>
      </c>
      <c r="C454" t="str">
        <f t="shared" si="22"/>
        <v>IPL-2014</v>
      </c>
      <c r="D454">
        <f t="shared" si="23"/>
        <v>2014</v>
      </c>
      <c r="E454" s="1">
        <v>41784</v>
      </c>
      <c r="F454" t="s">
        <v>16</v>
      </c>
      <c r="G454" t="s">
        <v>12</v>
      </c>
      <c r="H454" t="str">
        <f t="shared" si="21"/>
        <v>WIN</v>
      </c>
      <c r="I454" t="s">
        <v>16</v>
      </c>
      <c r="J454" t="s">
        <v>189</v>
      </c>
      <c r="K454" t="s">
        <v>20</v>
      </c>
    </row>
    <row r="455" spans="1:11" x14ac:dyDescent="0.3">
      <c r="A455" t="s">
        <v>25</v>
      </c>
      <c r="B455" t="s">
        <v>22</v>
      </c>
      <c r="C455" t="str">
        <f t="shared" si="22"/>
        <v>IPL-2014</v>
      </c>
      <c r="D455">
        <f t="shared" si="23"/>
        <v>2014</v>
      </c>
      <c r="E455" s="1">
        <v>41784</v>
      </c>
      <c r="F455" t="s">
        <v>25</v>
      </c>
      <c r="G455" t="s">
        <v>12</v>
      </c>
      <c r="H455" t="str">
        <f t="shared" si="21"/>
        <v>WIN</v>
      </c>
      <c r="I455" t="s">
        <v>25</v>
      </c>
      <c r="J455" t="s">
        <v>214</v>
      </c>
      <c r="K455" t="s">
        <v>27</v>
      </c>
    </row>
    <row r="456" spans="1:11" x14ac:dyDescent="0.3">
      <c r="A456" t="s">
        <v>16</v>
      </c>
      <c r="B456" t="s">
        <v>11</v>
      </c>
      <c r="C456" t="str">
        <f t="shared" si="22"/>
        <v>IPL-2014</v>
      </c>
      <c r="D456">
        <f t="shared" si="23"/>
        <v>2014</v>
      </c>
      <c r="E456" s="1">
        <v>41786</v>
      </c>
      <c r="F456" t="s">
        <v>16</v>
      </c>
      <c r="G456" t="s">
        <v>12</v>
      </c>
      <c r="H456" t="str">
        <f t="shared" si="21"/>
        <v>LOSS</v>
      </c>
      <c r="I456" t="s">
        <v>11</v>
      </c>
      <c r="J456" t="s">
        <v>185</v>
      </c>
      <c r="K456" t="s">
        <v>30</v>
      </c>
    </row>
    <row r="457" spans="1:11" x14ac:dyDescent="0.3">
      <c r="A457" t="s">
        <v>17</v>
      </c>
      <c r="B457" t="s">
        <v>25</v>
      </c>
      <c r="C457" t="str">
        <f t="shared" si="22"/>
        <v>IPL-2014</v>
      </c>
      <c r="D457">
        <f t="shared" si="23"/>
        <v>2014</v>
      </c>
      <c r="E457" s="1">
        <v>41787</v>
      </c>
      <c r="F457" t="s">
        <v>17</v>
      </c>
      <c r="G457" t="s">
        <v>12</v>
      </c>
      <c r="H457" t="str">
        <f t="shared" si="21"/>
        <v>WIN</v>
      </c>
      <c r="I457" t="s">
        <v>17</v>
      </c>
      <c r="J457" t="s">
        <v>68</v>
      </c>
      <c r="K457" t="s">
        <v>108</v>
      </c>
    </row>
    <row r="458" spans="1:11" x14ac:dyDescent="0.3">
      <c r="A458" t="s">
        <v>17</v>
      </c>
      <c r="B458" t="s">
        <v>16</v>
      </c>
      <c r="C458" t="str">
        <f t="shared" si="22"/>
        <v>IPL-2014</v>
      </c>
      <c r="D458">
        <f t="shared" si="23"/>
        <v>2014</v>
      </c>
      <c r="E458" s="1">
        <v>41789</v>
      </c>
      <c r="F458" t="s">
        <v>17</v>
      </c>
      <c r="G458" t="s">
        <v>12</v>
      </c>
      <c r="H458" t="str">
        <f t="shared" si="21"/>
        <v>LOSS</v>
      </c>
      <c r="I458" t="s">
        <v>16</v>
      </c>
      <c r="J458" t="s">
        <v>33</v>
      </c>
      <c r="K458" t="s">
        <v>27</v>
      </c>
    </row>
    <row r="459" spans="1:11" x14ac:dyDescent="0.3">
      <c r="A459" t="s">
        <v>11</v>
      </c>
      <c r="B459" t="s">
        <v>16</v>
      </c>
      <c r="C459" t="str">
        <f t="shared" si="22"/>
        <v>IPL-2014</v>
      </c>
      <c r="D459">
        <f t="shared" si="23"/>
        <v>2014</v>
      </c>
      <c r="E459" s="1">
        <v>41791</v>
      </c>
      <c r="F459" t="s">
        <v>11</v>
      </c>
      <c r="G459" t="s">
        <v>12</v>
      </c>
      <c r="H459" t="str">
        <f t="shared" si="21"/>
        <v>WIN</v>
      </c>
      <c r="I459" t="s">
        <v>11</v>
      </c>
      <c r="J459" t="s">
        <v>106</v>
      </c>
      <c r="K459" t="s">
        <v>14</v>
      </c>
    </row>
    <row r="460" spans="1:11" x14ac:dyDescent="0.3">
      <c r="A460" t="s">
        <v>11</v>
      </c>
      <c r="B460" t="s">
        <v>25</v>
      </c>
      <c r="C460" t="str">
        <f t="shared" si="22"/>
        <v>IPL-2015</v>
      </c>
      <c r="D460">
        <f t="shared" si="23"/>
        <v>2015</v>
      </c>
      <c r="E460" s="1">
        <v>42102</v>
      </c>
      <c r="F460" t="s">
        <v>11</v>
      </c>
      <c r="G460" t="s">
        <v>12</v>
      </c>
      <c r="H460" t="str">
        <f t="shared" si="21"/>
        <v>WIN</v>
      </c>
      <c r="I460" t="s">
        <v>11</v>
      </c>
      <c r="J460" t="s">
        <v>171</v>
      </c>
      <c r="K460" t="s">
        <v>30</v>
      </c>
    </row>
    <row r="461" spans="1:11" x14ac:dyDescent="0.3">
      <c r="A461" t="s">
        <v>17</v>
      </c>
      <c r="B461" t="s">
        <v>21</v>
      </c>
      <c r="C461" t="str">
        <f t="shared" si="22"/>
        <v>IPL-2015</v>
      </c>
      <c r="D461">
        <f t="shared" si="23"/>
        <v>2015</v>
      </c>
      <c r="E461" s="1">
        <v>42103</v>
      </c>
      <c r="F461" t="s">
        <v>21</v>
      </c>
      <c r="G461" t="s">
        <v>12</v>
      </c>
      <c r="H461" t="str">
        <f t="shared" si="21"/>
        <v>LOSS</v>
      </c>
      <c r="I461" t="s">
        <v>17</v>
      </c>
      <c r="J461" t="s">
        <v>53</v>
      </c>
      <c r="K461" t="s">
        <v>36</v>
      </c>
    </row>
    <row r="462" spans="1:11" x14ac:dyDescent="0.3">
      <c r="A462" t="s">
        <v>16</v>
      </c>
      <c r="B462" t="s">
        <v>22</v>
      </c>
      <c r="C462" t="str">
        <f t="shared" si="22"/>
        <v>IPL-2015</v>
      </c>
      <c r="D462">
        <f t="shared" si="23"/>
        <v>2015</v>
      </c>
      <c r="E462" s="1">
        <v>42104</v>
      </c>
      <c r="F462" t="s">
        <v>16</v>
      </c>
      <c r="G462" t="s">
        <v>12</v>
      </c>
      <c r="H462" t="str">
        <f t="shared" si="21"/>
        <v>LOSS</v>
      </c>
      <c r="I462" t="s">
        <v>22</v>
      </c>
      <c r="J462" t="s">
        <v>191</v>
      </c>
      <c r="K462" t="s">
        <v>193</v>
      </c>
    </row>
    <row r="463" spans="1:11" x14ac:dyDescent="0.3">
      <c r="A463" t="s">
        <v>17</v>
      </c>
      <c r="B463" t="s">
        <v>187</v>
      </c>
      <c r="C463" t="str">
        <f t="shared" si="22"/>
        <v>IPL-2015</v>
      </c>
      <c r="D463">
        <f t="shared" si="23"/>
        <v>2015</v>
      </c>
      <c r="E463" s="1">
        <v>42105</v>
      </c>
      <c r="F463" t="s">
        <v>17</v>
      </c>
      <c r="G463" t="s">
        <v>18</v>
      </c>
      <c r="H463" t="str">
        <f t="shared" si="21"/>
        <v>WIN</v>
      </c>
      <c r="I463" t="s">
        <v>17</v>
      </c>
      <c r="J463" t="s">
        <v>13</v>
      </c>
      <c r="K463" t="s">
        <v>36</v>
      </c>
    </row>
    <row r="464" spans="1:11" x14ac:dyDescent="0.3">
      <c r="A464" t="s">
        <v>11</v>
      </c>
      <c r="B464" t="s">
        <v>10</v>
      </c>
      <c r="C464" t="str">
        <f t="shared" si="22"/>
        <v>IPL-2015</v>
      </c>
      <c r="D464">
        <f t="shared" si="23"/>
        <v>2015</v>
      </c>
      <c r="E464" s="1">
        <v>42105</v>
      </c>
      <c r="F464" t="s">
        <v>10</v>
      </c>
      <c r="G464" t="s">
        <v>12</v>
      </c>
      <c r="H464" t="str">
        <f t="shared" si="21"/>
        <v>WIN</v>
      </c>
      <c r="I464" t="s">
        <v>10</v>
      </c>
      <c r="J464" t="s">
        <v>77</v>
      </c>
      <c r="K464" t="s">
        <v>30</v>
      </c>
    </row>
    <row r="465" spans="1:11" x14ac:dyDescent="0.3">
      <c r="A465" t="s">
        <v>25</v>
      </c>
      <c r="B465" t="s">
        <v>16</v>
      </c>
      <c r="C465" t="str">
        <f t="shared" si="22"/>
        <v>IPL-2015</v>
      </c>
      <c r="D465">
        <f t="shared" si="23"/>
        <v>2015</v>
      </c>
      <c r="E465" s="1">
        <v>42106</v>
      </c>
      <c r="F465" t="s">
        <v>25</v>
      </c>
      <c r="G465" t="s">
        <v>12</v>
      </c>
      <c r="H465" t="str">
        <f t="shared" si="21"/>
        <v>LOSS</v>
      </c>
      <c r="I465" t="s">
        <v>16</v>
      </c>
      <c r="J465" t="s">
        <v>218</v>
      </c>
      <c r="K465" t="s">
        <v>27</v>
      </c>
    </row>
    <row r="466" spans="1:11" x14ac:dyDescent="0.3">
      <c r="A466" t="s">
        <v>21</v>
      </c>
      <c r="B466" t="s">
        <v>22</v>
      </c>
      <c r="C466" t="str">
        <f t="shared" si="22"/>
        <v>IPL-2015</v>
      </c>
      <c r="D466">
        <f t="shared" si="23"/>
        <v>2015</v>
      </c>
      <c r="E466" s="1">
        <v>42106</v>
      </c>
      <c r="F466" t="s">
        <v>22</v>
      </c>
      <c r="G466" t="s">
        <v>12</v>
      </c>
      <c r="H466" t="str">
        <f t="shared" si="21"/>
        <v>WIN</v>
      </c>
      <c r="I466" t="s">
        <v>22</v>
      </c>
      <c r="J466" t="s">
        <v>219</v>
      </c>
      <c r="K466" t="s">
        <v>24</v>
      </c>
    </row>
    <row r="467" spans="1:11" x14ac:dyDescent="0.3">
      <c r="A467" t="s">
        <v>10</v>
      </c>
      <c r="B467" t="s">
        <v>187</v>
      </c>
      <c r="C467" t="str">
        <f t="shared" si="22"/>
        <v>IPL-2015</v>
      </c>
      <c r="D467">
        <f t="shared" si="23"/>
        <v>2015</v>
      </c>
      <c r="E467" s="1">
        <v>42107</v>
      </c>
      <c r="F467" t="s">
        <v>187</v>
      </c>
      <c r="G467" t="s">
        <v>12</v>
      </c>
      <c r="H467" t="str">
        <f t="shared" si="21"/>
        <v>WIN</v>
      </c>
      <c r="I467" t="s">
        <v>187</v>
      </c>
      <c r="J467" t="s">
        <v>121</v>
      </c>
      <c r="K467" t="s">
        <v>14</v>
      </c>
    </row>
    <row r="468" spans="1:11" x14ac:dyDescent="0.3">
      <c r="A468" t="s">
        <v>22</v>
      </c>
      <c r="B468" t="s">
        <v>25</v>
      </c>
      <c r="C468" t="str">
        <f t="shared" si="22"/>
        <v>IPL-2015</v>
      </c>
      <c r="D468">
        <f t="shared" si="23"/>
        <v>2015</v>
      </c>
      <c r="E468" s="1">
        <v>42108</v>
      </c>
      <c r="F468" t="s">
        <v>25</v>
      </c>
      <c r="G468" t="s">
        <v>18</v>
      </c>
      <c r="H468" t="str">
        <f t="shared" si="21"/>
        <v>LOSS</v>
      </c>
      <c r="I468" t="s">
        <v>22</v>
      </c>
      <c r="J468" t="s">
        <v>165</v>
      </c>
      <c r="K468" t="s">
        <v>111</v>
      </c>
    </row>
    <row r="469" spans="1:11" x14ac:dyDescent="0.3">
      <c r="A469" t="s">
        <v>16</v>
      </c>
      <c r="B469" t="s">
        <v>21</v>
      </c>
      <c r="C469" t="str">
        <f t="shared" si="22"/>
        <v>IPL-2015</v>
      </c>
      <c r="D469">
        <f t="shared" si="23"/>
        <v>2015</v>
      </c>
      <c r="E469" s="1">
        <v>42109</v>
      </c>
      <c r="F469" t="s">
        <v>16</v>
      </c>
      <c r="G469" t="s">
        <v>18</v>
      </c>
      <c r="H469" t="str">
        <f t="shared" si="21"/>
        <v>LOSS</v>
      </c>
      <c r="I469" t="s">
        <v>21</v>
      </c>
      <c r="J469" t="s">
        <v>220</v>
      </c>
      <c r="K469" t="s">
        <v>193</v>
      </c>
    </row>
    <row r="470" spans="1:11" x14ac:dyDescent="0.3">
      <c r="A470" t="s">
        <v>187</v>
      </c>
      <c r="B470" t="s">
        <v>22</v>
      </c>
      <c r="C470" t="str">
        <f t="shared" si="22"/>
        <v>IPL-2015</v>
      </c>
      <c r="D470">
        <f t="shared" si="23"/>
        <v>2015</v>
      </c>
      <c r="E470" s="1">
        <v>42110</v>
      </c>
      <c r="F470" t="s">
        <v>22</v>
      </c>
      <c r="G470" t="s">
        <v>12</v>
      </c>
      <c r="H470" t="str">
        <f t="shared" si="21"/>
        <v>WIN</v>
      </c>
      <c r="I470" t="s">
        <v>22</v>
      </c>
      <c r="J470" t="s">
        <v>166</v>
      </c>
      <c r="K470" t="s">
        <v>168</v>
      </c>
    </row>
    <row r="471" spans="1:11" x14ac:dyDescent="0.3">
      <c r="A471" t="s">
        <v>25</v>
      </c>
      <c r="B471" t="s">
        <v>17</v>
      </c>
      <c r="C471" t="str">
        <f t="shared" si="22"/>
        <v>IPL-2015</v>
      </c>
      <c r="D471">
        <f t="shared" si="23"/>
        <v>2015</v>
      </c>
      <c r="E471" s="1">
        <v>42111</v>
      </c>
      <c r="F471" t="s">
        <v>25</v>
      </c>
      <c r="G471" t="s">
        <v>18</v>
      </c>
      <c r="H471" t="str">
        <f t="shared" si="21"/>
        <v>LOSS</v>
      </c>
      <c r="I471" t="s">
        <v>17</v>
      </c>
      <c r="J471" t="s">
        <v>53</v>
      </c>
      <c r="K471" t="s">
        <v>27</v>
      </c>
    </row>
    <row r="472" spans="1:11" x14ac:dyDescent="0.3">
      <c r="A472" t="s">
        <v>16</v>
      </c>
      <c r="B472" t="s">
        <v>11</v>
      </c>
      <c r="C472" t="str">
        <f t="shared" si="22"/>
        <v>IPL-2015</v>
      </c>
      <c r="D472">
        <f t="shared" si="23"/>
        <v>2015</v>
      </c>
      <c r="E472" s="1">
        <v>42112</v>
      </c>
      <c r="F472" t="s">
        <v>11</v>
      </c>
      <c r="G472" t="s">
        <v>12</v>
      </c>
      <c r="H472" t="str">
        <f t="shared" si="21"/>
        <v>WIN</v>
      </c>
      <c r="I472" t="s">
        <v>11</v>
      </c>
      <c r="J472" t="s">
        <v>221</v>
      </c>
      <c r="K472" t="s">
        <v>193</v>
      </c>
    </row>
    <row r="473" spans="1:11" x14ac:dyDescent="0.3">
      <c r="A473" t="s">
        <v>187</v>
      </c>
      <c r="B473" t="s">
        <v>21</v>
      </c>
      <c r="C473" t="str">
        <f t="shared" si="22"/>
        <v>IPL-2015</v>
      </c>
      <c r="D473">
        <f t="shared" si="23"/>
        <v>2015</v>
      </c>
      <c r="E473" s="1">
        <v>42112</v>
      </c>
      <c r="F473" t="s">
        <v>21</v>
      </c>
      <c r="G473" t="s">
        <v>18</v>
      </c>
      <c r="H473" t="str">
        <f t="shared" si="21"/>
        <v>WIN</v>
      </c>
      <c r="I473" t="s">
        <v>21</v>
      </c>
      <c r="J473" t="s">
        <v>86</v>
      </c>
      <c r="K473" t="s">
        <v>168</v>
      </c>
    </row>
    <row r="474" spans="1:11" x14ac:dyDescent="0.3">
      <c r="A474" t="s">
        <v>22</v>
      </c>
      <c r="B474" t="s">
        <v>17</v>
      </c>
      <c r="C474" t="str">
        <f t="shared" si="22"/>
        <v>IPL-2015</v>
      </c>
      <c r="D474">
        <f t="shared" si="23"/>
        <v>2015</v>
      </c>
      <c r="E474" s="1">
        <v>42113</v>
      </c>
      <c r="F474" t="s">
        <v>17</v>
      </c>
      <c r="G474" t="s">
        <v>18</v>
      </c>
      <c r="H474" t="str">
        <f t="shared" si="21"/>
        <v>LOSS</v>
      </c>
      <c r="I474" t="s">
        <v>22</v>
      </c>
      <c r="J474" t="s">
        <v>166</v>
      </c>
      <c r="K474" t="s">
        <v>111</v>
      </c>
    </row>
    <row r="475" spans="1:11" x14ac:dyDescent="0.3">
      <c r="A475" t="s">
        <v>10</v>
      </c>
      <c r="B475" t="s">
        <v>25</v>
      </c>
      <c r="C475" t="str">
        <f t="shared" si="22"/>
        <v>IPL-2015</v>
      </c>
      <c r="D475">
        <f t="shared" si="23"/>
        <v>2015</v>
      </c>
      <c r="E475" s="1">
        <v>42113</v>
      </c>
      <c r="F475" t="s">
        <v>10</v>
      </c>
      <c r="G475" t="s">
        <v>12</v>
      </c>
      <c r="H475" t="str">
        <f t="shared" si="21"/>
        <v>LOSS</v>
      </c>
      <c r="I475" t="s">
        <v>25</v>
      </c>
      <c r="J475" t="s">
        <v>99</v>
      </c>
      <c r="K475" t="s">
        <v>14</v>
      </c>
    </row>
    <row r="476" spans="1:11" x14ac:dyDescent="0.3">
      <c r="A476" t="s">
        <v>21</v>
      </c>
      <c r="B476" t="s">
        <v>11</v>
      </c>
      <c r="C476" t="str">
        <f t="shared" si="22"/>
        <v>IPL-2015</v>
      </c>
      <c r="D476">
        <f t="shared" si="23"/>
        <v>2015</v>
      </c>
      <c r="E476" s="1">
        <v>42114</v>
      </c>
      <c r="F476" t="s">
        <v>11</v>
      </c>
      <c r="G476" t="s">
        <v>12</v>
      </c>
      <c r="H476" t="str">
        <f t="shared" si="21"/>
        <v>WIN</v>
      </c>
      <c r="I476" t="s">
        <v>11</v>
      </c>
      <c r="J476" t="s">
        <v>185</v>
      </c>
      <c r="K476" t="s">
        <v>24</v>
      </c>
    </row>
    <row r="477" spans="1:11" x14ac:dyDescent="0.3">
      <c r="A477" t="s">
        <v>22</v>
      </c>
      <c r="B477" t="s">
        <v>16</v>
      </c>
      <c r="C477" t="str">
        <f t="shared" si="22"/>
        <v>IPL-2015</v>
      </c>
      <c r="D477">
        <f t="shared" si="23"/>
        <v>2015</v>
      </c>
      <c r="E477" s="1">
        <v>42115</v>
      </c>
      <c r="F477" t="s">
        <v>16</v>
      </c>
      <c r="G477" t="s">
        <v>12</v>
      </c>
      <c r="H477" t="str">
        <f t="shared" si="21"/>
        <v>LOSS</v>
      </c>
      <c r="J477" t="s">
        <v>47</v>
      </c>
      <c r="K477" t="s">
        <v>111</v>
      </c>
    </row>
    <row r="478" spans="1:11" x14ac:dyDescent="0.3">
      <c r="A478" t="s">
        <v>187</v>
      </c>
      <c r="B478" t="s">
        <v>11</v>
      </c>
      <c r="C478" t="str">
        <f t="shared" si="22"/>
        <v>IPL-2015</v>
      </c>
      <c r="D478">
        <f t="shared" si="23"/>
        <v>2015</v>
      </c>
      <c r="E478" s="1">
        <v>42116</v>
      </c>
      <c r="F478" t="s">
        <v>11</v>
      </c>
      <c r="G478" t="s">
        <v>12</v>
      </c>
      <c r="H478" t="str">
        <f t="shared" si="21"/>
        <v>LOSS</v>
      </c>
      <c r="I478" t="s">
        <v>187</v>
      </c>
      <c r="J478" t="s">
        <v>121</v>
      </c>
      <c r="K478" t="s">
        <v>168</v>
      </c>
    </row>
    <row r="479" spans="1:11" x14ac:dyDescent="0.3">
      <c r="A479" t="s">
        <v>10</v>
      </c>
      <c r="B479" t="s">
        <v>17</v>
      </c>
      <c r="C479" t="str">
        <f t="shared" si="22"/>
        <v>IPL-2015</v>
      </c>
      <c r="D479">
        <f t="shared" si="23"/>
        <v>2015</v>
      </c>
      <c r="E479" s="1">
        <v>42116</v>
      </c>
      <c r="F479" t="s">
        <v>10</v>
      </c>
      <c r="G479" t="s">
        <v>12</v>
      </c>
      <c r="H479" t="str">
        <f t="shared" si="21"/>
        <v>LOSS</v>
      </c>
      <c r="I479" t="s">
        <v>17</v>
      </c>
      <c r="J479" t="s">
        <v>68</v>
      </c>
      <c r="K479" t="s">
        <v>14</v>
      </c>
    </row>
    <row r="480" spans="1:11" x14ac:dyDescent="0.3">
      <c r="A480" t="s">
        <v>21</v>
      </c>
      <c r="B480" t="s">
        <v>25</v>
      </c>
      <c r="C480" t="str">
        <f t="shared" si="22"/>
        <v>IPL-2015</v>
      </c>
      <c r="D480">
        <f t="shared" si="23"/>
        <v>2015</v>
      </c>
      <c r="E480" s="1">
        <v>42117</v>
      </c>
      <c r="F480" t="s">
        <v>25</v>
      </c>
      <c r="G480" t="s">
        <v>12</v>
      </c>
      <c r="H480" t="str">
        <f t="shared" si="21"/>
        <v>LOSS</v>
      </c>
      <c r="I480" t="s">
        <v>21</v>
      </c>
      <c r="J480" t="s">
        <v>222</v>
      </c>
      <c r="K480" t="s">
        <v>24</v>
      </c>
    </row>
    <row r="481" spans="1:11" x14ac:dyDescent="0.3">
      <c r="A481" t="s">
        <v>22</v>
      </c>
      <c r="B481" t="s">
        <v>10</v>
      </c>
      <c r="C481" t="str">
        <f t="shared" si="22"/>
        <v>IPL-2015</v>
      </c>
      <c r="D481">
        <f t="shared" si="23"/>
        <v>2015</v>
      </c>
      <c r="E481" s="1">
        <v>42118</v>
      </c>
      <c r="F481" t="s">
        <v>10</v>
      </c>
      <c r="G481" t="s">
        <v>12</v>
      </c>
      <c r="H481" t="str">
        <f t="shared" si="21"/>
        <v>WIN</v>
      </c>
      <c r="I481" t="s">
        <v>10</v>
      </c>
      <c r="J481" t="s">
        <v>223</v>
      </c>
      <c r="K481" t="s">
        <v>111</v>
      </c>
    </row>
    <row r="482" spans="1:11" x14ac:dyDescent="0.3">
      <c r="A482" t="s">
        <v>25</v>
      </c>
      <c r="B482" t="s">
        <v>187</v>
      </c>
      <c r="C482" t="str">
        <f t="shared" si="22"/>
        <v>IPL-2015</v>
      </c>
      <c r="D482">
        <f t="shared" si="23"/>
        <v>2015</v>
      </c>
      <c r="E482" s="1">
        <v>42119</v>
      </c>
      <c r="F482" t="s">
        <v>25</v>
      </c>
      <c r="G482" t="s">
        <v>18</v>
      </c>
      <c r="H482" t="str">
        <f t="shared" si="21"/>
        <v>WIN</v>
      </c>
      <c r="I482" t="s">
        <v>25</v>
      </c>
      <c r="J482" t="s">
        <v>122</v>
      </c>
      <c r="K482" t="s">
        <v>27</v>
      </c>
    </row>
    <row r="483" spans="1:11" x14ac:dyDescent="0.3">
      <c r="A483" t="s">
        <v>17</v>
      </c>
      <c r="B483" t="s">
        <v>16</v>
      </c>
      <c r="C483" t="str">
        <f t="shared" si="22"/>
        <v>IPL-2015</v>
      </c>
      <c r="D483">
        <f t="shared" si="23"/>
        <v>2015</v>
      </c>
      <c r="E483" s="1">
        <v>42119</v>
      </c>
      <c r="F483" t="s">
        <v>17</v>
      </c>
      <c r="G483" t="s">
        <v>18</v>
      </c>
      <c r="H483" t="str">
        <f t="shared" si="21"/>
        <v>WIN</v>
      </c>
      <c r="I483" t="s">
        <v>17</v>
      </c>
      <c r="J483" t="s">
        <v>13</v>
      </c>
      <c r="K483" t="s">
        <v>36</v>
      </c>
    </row>
    <row r="484" spans="1:11" x14ac:dyDescent="0.3">
      <c r="A484" t="s">
        <v>21</v>
      </c>
      <c r="B484" t="s">
        <v>10</v>
      </c>
      <c r="C484" t="str">
        <f t="shared" si="22"/>
        <v>IPL-2015</v>
      </c>
      <c r="D484">
        <f t="shared" si="23"/>
        <v>2015</v>
      </c>
      <c r="E484" s="1">
        <v>42120</v>
      </c>
      <c r="F484" t="s">
        <v>10</v>
      </c>
      <c r="G484" t="s">
        <v>12</v>
      </c>
      <c r="H484" t="str">
        <f t="shared" si="21"/>
        <v>WIN</v>
      </c>
      <c r="I484" t="s">
        <v>10</v>
      </c>
      <c r="J484" t="s">
        <v>224</v>
      </c>
      <c r="K484" t="s">
        <v>24</v>
      </c>
    </row>
    <row r="485" spans="1:11" x14ac:dyDescent="0.3">
      <c r="A485" t="s">
        <v>16</v>
      </c>
      <c r="B485" t="s">
        <v>187</v>
      </c>
      <c r="C485" t="str">
        <f t="shared" si="22"/>
        <v>IPL-2015</v>
      </c>
      <c r="D485">
        <f t="shared" si="23"/>
        <v>2015</v>
      </c>
      <c r="E485" s="1">
        <v>42121</v>
      </c>
      <c r="F485" t="s">
        <v>16</v>
      </c>
      <c r="G485" t="s">
        <v>12</v>
      </c>
      <c r="H485" t="str">
        <f t="shared" si="21"/>
        <v>LOSS</v>
      </c>
      <c r="I485" t="s">
        <v>187</v>
      </c>
      <c r="J485" t="s">
        <v>225</v>
      </c>
      <c r="K485" t="s">
        <v>20</v>
      </c>
    </row>
    <row r="486" spans="1:11" x14ac:dyDescent="0.3">
      <c r="A486" t="s">
        <v>17</v>
      </c>
      <c r="B486" t="s">
        <v>11</v>
      </c>
      <c r="C486" t="str">
        <f t="shared" si="22"/>
        <v>IPL-2015</v>
      </c>
      <c r="D486">
        <f t="shared" si="23"/>
        <v>2015</v>
      </c>
      <c r="E486" s="1">
        <v>42122</v>
      </c>
      <c r="F486" t="s">
        <v>11</v>
      </c>
      <c r="G486" t="s">
        <v>12</v>
      </c>
      <c r="H486" t="str">
        <f t="shared" si="21"/>
        <v>LOSS</v>
      </c>
      <c r="I486" t="s">
        <v>17</v>
      </c>
      <c r="J486" t="s">
        <v>60</v>
      </c>
      <c r="K486" t="s">
        <v>36</v>
      </c>
    </row>
    <row r="487" spans="1:11" x14ac:dyDescent="0.3">
      <c r="A487" t="s">
        <v>10</v>
      </c>
      <c r="B487" t="s">
        <v>22</v>
      </c>
      <c r="C487" t="str">
        <f t="shared" si="22"/>
        <v>IPL-2015</v>
      </c>
      <c r="D487">
        <f t="shared" si="23"/>
        <v>2015</v>
      </c>
      <c r="E487" s="1">
        <v>42123</v>
      </c>
      <c r="F487" t="s">
        <v>22</v>
      </c>
      <c r="G487" t="s">
        <v>12</v>
      </c>
      <c r="H487" t="str">
        <f t="shared" si="21"/>
        <v>LOSS</v>
      </c>
      <c r="J487" t="s">
        <v>15</v>
      </c>
      <c r="K487" t="s">
        <v>14</v>
      </c>
    </row>
    <row r="488" spans="1:11" x14ac:dyDescent="0.3">
      <c r="A488" t="s">
        <v>11</v>
      </c>
      <c r="B488" t="s">
        <v>17</v>
      </c>
      <c r="C488" t="str">
        <f t="shared" si="22"/>
        <v>IPL-2015</v>
      </c>
      <c r="D488">
        <f t="shared" si="23"/>
        <v>2015</v>
      </c>
      <c r="E488" s="1">
        <v>42124</v>
      </c>
      <c r="F488" t="s">
        <v>11</v>
      </c>
      <c r="G488" t="s">
        <v>12</v>
      </c>
      <c r="H488" t="str">
        <f t="shared" si="21"/>
        <v>WIN</v>
      </c>
      <c r="I488" t="s">
        <v>11</v>
      </c>
      <c r="J488" t="s">
        <v>221</v>
      </c>
      <c r="K488" t="s">
        <v>30</v>
      </c>
    </row>
    <row r="489" spans="1:11" x14ac:dyDescent="0.3">
      <c r="A489" t="s">
        <v>21</v>
      </c>
      <c r="B489" t="s">
        <v>16</v>
      </c>
      <c r="C489" t="str">
        <f t="shared" si="22"/>
        <v>IPL-2015</v>
      </c>
      <c r="D489">
        <f t="shared" si="23"/>
        <v>2015</v>
      </c>
      <c r="E489" s="1">
        <v>42125</v>
      </c>
      <c r="F489" t="s">
        <v>21</v>
      </c>
      <c r="G489" t="s">
        <v>12</v>
      </c>
      <c r="H489" t="str">
        <f t="shared" si="21"/>
        <v>WIN</v>
      </c>
      <c r="I489" t="s">
        <v>21</v>
      </c>
      <c r="J489" t="s">
        <v>226</v>
      </c>
      <c r="K489" t="s">
        <v>24</v>
      </c>
    </row>
    <row r="490" spans="1:11" x14ac:dyDescent="0.3">
      <c r="A490" t="s">
        <v>25</v>
      </c>
      <c r="B490" t="s">
        <v>22</v>
      </c>
      <c r="C490" t="str">
        <f t="shared" si="22"/>
        <v>IPL-2015</v>
      </c>
      <c r="D490">
        <f t="shared" si="23"/>
        <v>2015</v>
      </c>
      <c r="E490" s="1">
        <v>42125</v>
      </c>
      <c r="F490" t="s">
        <v>22</v>
      </c>
      <c r="G490" t="s">
        <v>12</v>
      </c>
      <c r="H490" t="str">
        <f t="shared" si="21"/>
        <v>LOSS</v>
      </c>
      <c r="I490" t="s">
        <v>25</v>
      </c>
      <c r="J490" t="s">
        <v>125</v>
      </c>
      <c r="K490" t="s">
        <v>27</v>
      </c>
    </row>
    <row r="491" spans="1:11" x14ac:dyDescent="0.3">
      <c r="A491" t="s">
        <v>187</v>
      </c>
      <c r="B491" t="s">
        <v>17</v>
      </c>
      <c r="C491" t="str">
        <f t="shared" si="22"/>
        <v>IPL-2015</v>
      </c>
      <c r="D491">
        <f t="shared" si="23"/>
        <v>2015</v>
      </c>
      <c r="E491" s="1">
        <v>42126</v>
      </c>
      <c r="F491" t="s">
        <v>17</v>
      </c>
      <c r="G491" t="s">
        <v>12</v>
      </c>
      <c r="H491" t="str">
        <f t="shared" si="21"/>
        <v>LOSS</v>
      </c>
      <c r="I491" t="s">
        <v>187</v>
      </c>
      <c r="J491" t="s">
        <v>121</v>
      </c>
      <c r="K491" t="s">
        <v>34</v>
      </c>
    </row>
    <row r="492" spans="1:11" x14ac:dyDescent="0.3">
      <c r="A492" t="s">
        <v>10</v>
      </c>
      <c r="B492" t="s">
        <v>11</v>
      </c>
      <c r="C492" t="str">
        <f t="shared" si="22"/>
        <v>IPL-2015</v>
      </c>
      <c r="D492">
        <f t="shared" si="23"/>
        <v>2015</v>
      </c>
      <c r="E492" s="1">
        <v>42126</v>
      </c>
      <c r="F492" t="s">
        <v>10</v>
      </c>
      <c r="G492" t="s">
        <v>12</v>
      </c>
      <c r="H492" t="str">
        <f t="shared" si="21"/>
        <v>WIN</v>
      </c>
      <c r="I492" t="s">
        <v>10</v>
      </c>
      <c r="J492" t="s">
        <v>180</v>
      </c>
      <c r="K492" t="s">
        <v>14</v>
      </c>
    </row>
    <row r="493" spans="1:11" x14ac:dyDescent="0.3">
      <c r="A493" t="s">
        <v>22</v>
      </c>
      <c r="B493" t="s">
        <v>21</v>
      </c>
      <c r="C493" t="str">
        <f t="shared" si="22"/>
        <v>IPL-2015</v>
      </c>
      <c r="D493">
        <f t="shared" si="23"/>
        <v>2015</v>
      </c>
      <c r="E493" s="1">
        <v>42127</v>
      </c>
      <c r="F493" t="s">
        <v>21</v>
      </c>
      <c r="G493" t="s">
        <v>12</v>
      </c>
      <c r="H493" t="str">
        <f t="shared" si="21"/>
        <v>LOSS</v>
      </c>
      <c r="I493" t="s">
        <v>22</v>
      </c>
      <c r="J493" t="s">
        <v>166</v>
      </c>
      <c r="K493" t="s">
        <v>108</v>
      </c>
    </row>
    <row r="494" spans="1:11" x14ac:dyDescent="0.3">
      <c r="A494" t="s">
        <v>16</v>
      </c>
      <c r="B494" t="s">
        <v>25</v>
      </c>
      <c r="C494" t="str">
        <f t="shared" si="22"/>
        <v>IPL-2015</v>
      </c>
      <c r="D494">
        <f t="shared" si="23"/>
        <v>2015</v>
      </c>
      <c r="E494" s="1">
        <v>42127</v>
      </c>
      <c r="F494" t="s">
        <v>25</v>
      </c>
      <c r="G494" t="s">
        <v>18</v>
      </c>
      <c r="H494" t="str">
        <f t="shared" si="21"/>
        <v>WIN</v>
      </c>
      <c r="I494" t="s">
        <v>25</v>
      </c>
      <c r="J494" t="s">
        <v>217</v>
      </c>
      <c r="K494" t="s">
        <v>20</v>
      </c>
    </row>
    <row r="495" spans="1:11" x14ac:dyDescent="0.3">
      <c r="A495" t="s">
        <v>17</v>
      </c>
      <c r="B495" t="s">
        <v>10</v>
      </c>
      <c r="C495" t="str">
        <f t="shared" si="22"/>
        <v>IPL-2015</v>
      </c>
      <c r="D495">
        <f t="shared" si="23"/>
        <v>2015</v>
      </c>
      <c r="E495" s="1">
        <v>42128</v>
      </c>
      <c r="F495" t="s">
        <v>17</v>
      </c>
      <c r="G495" t="s">
        <v>18</v>
      </c>
      <c r="H495" t="str">
        <f t="shared" si="21"/>
        <v>WIN</v>
      </c>
      <c r="I495" t="s">
        <v>17</v>
      </c>
      <c r="J495" t="s">
        <v>68</v>
      </c>
      <c r="K495" t="s">
        <v>36</v>
      </c>
    </row>
    <row r="496" spans="1:11" x14ac:dyDescent="0.3">
      <c r="A496" t="s">
        <v>11</v>
      </c>
      <c r="B496" t="s">
        <v>187</v>
      </c>
      <c r="C496" t="str">
        <f t="shared" si="22"/>
        <v>IPL-2015</v>
      </c>
      <c r="D496">
        <f t="shared" si="23"/>
        <v>2015</v>
      </c>
      <c r="E496" s="1">
        <v>42128</v>
      </c>
      <c r="F496" t="s">
        <v>187</v>
      </c>
      <c r="G496" t="s">
        <v>12</v>
      </c>
      <c r="H496" t="str">
        <f t="shared" si="21"/>
        <v>LOSS</v>
      </c>
      <c r="I496" t="s">
        <v>11</v>
      </c>
      <c r="J496" t="s">
        <v>185</v>
      </c>
      <c r="K496" t="s">
        <v>30</v>
      </c>
    </row>
    <row r="497" spans="1:11" x14ac:dyDescent="0.3">
      <c r="A497" t="s">
        <v>25</v>
      </c>
      <c r="B497" t="s">
        <v>21</v>
      </c>
      <c r="C497" t="str">
        <f t="shared" si="22"/>
        <v>IPL-2015</v>
      </c>
      <c r="D497">
        <f t="shared" si="23"/>
        <v>2015</v>
      </c>
      <c r="E497" s="1">
        <v>42129</v>
      </c>
      <c r="F497" t="s">
        <v>21</v>
      </c>
      <c r="G497" t="s">
        <v>18</v>
      </c>
      <c r="H497" t="str">
        <f t="shared" si="21"/>
        <v>LOSS</v>
      </c>
      <c r="I497" t="s">
        <v>25</v>
      </c>
      <c r="J497" t="s">
        <v>99</v>
      </c>
      <c r="K497" t="s">
        <v>27</v>
      </c>
    </row>
    <row r="498" spans="1:11" x14ac:dyDescent="0.3">
      <c r="A498" t="s">
        <v>10</v>
      </c>
      <c r="B498" t="s">
        <v>16</v>
      </c>
      <c r="C498" t="str">
        <f t="shared" si="22"/>
        <v>IPL-2015</v>
      </c>
      <c r="D498">
        <f t="shared" si="23"/>
        <v>2015</v>
      </c>
      <c r="E498" s="1">
        <v>42130</v>
      </c>
      <c r="F498" t="s">
        <v>16</v>
      </c>
      <c r="G498" t="s">
        <v>12</v>
      </c>
      <c r="H498" t="str">
        <f t="shared" si="21"/>
        <v>LOSS</v>
      </c>
      <c r="I498" t="s">
        <v>10</v>
      </c>
      <c r="J498" t="s">
        <v>77</v>
      </c>
      <c r="K498" t="s">
        <v>14</v>
      </c>
    </row>
    <row r="499" spans="1:11" x14ac:dyDescent="0.3">
      <c r="A499" t="s">
        <v>22</v>
      </c>
      <c r="B499" t="s">
        <v>187</v>
      </c>
      <c r="C499" t="str">
        <f t="shared" si="22"/>
        <v>IPL-2015</v>
      </c>
      <c r="D499">
        <f t="shared" si="23"/>
        <v>2015</v>
      </c>
      <c r="E499" s="1">
        <v>42131</v>
      </c>
      <c r="F499" t="s">
        <v>22</v>
      </c>
      <c r="G499" t="s">
        <v>12</v>
      </c>
      <c r="H499" t="str">
        <f t="shared" si="21"/>
        <v>LOSS</v>
      </c>
      <c r="I499" t="s">
        <v>187</v>
      </c>
      <c r="J499" t="s">
        <v>227</v>
      </c>
      <c r="K499" t="s">
        <v>108</v>
      </c>
    </row>
    <row r="500" spans="1:11" x14ac:dyDescent="0.3">
      <c r="A500" t="s">
        <v>11</v>
      </c>
      <c r="B500" t="s">
        <v>21</v>
      </c>
      <c r="C500" t="str">
        <f t="shared" si="22"/>
        <v>IPL-2015</v>
      </c>
      <c r="D500">
        <f t="shared" si="23"/>
        <v>2015</v>
      </c>
      <c r="E500" s="1">
        <v>42131</v>
      </c>
      <c r="F500" t="s">
        <v>11</v>
      </c>
      <c r="G500" t="s">
        <v>18</v>
      </c>
      <c r="H500" t="str">
        <f t="shared" si="21"/>
        <v>WIN</v>
      </c>
      <c r="I500" t="s">
        <v>11</v>
      </c>
      <c r="J500" t="s">
        <v>131</v>
      </c>
      <c r="K500" t="s">
        <v>30</v>
      </c>
    </row>
    <row r="501" spans="1:11" x14ac:dyDescent="0.3">
      <c r="A501" t="s">
        <v>17</v>
      </c>
      <c r="B501" t="s">
        <v>25</v>
      </c>
      <c r="C501" t="str">
        <f t="shared" si="22"/>
        <v>IPL-2015</v>
      </c>
      <c r="D501">
        <f t="shared" si="23"/>
        <v>2015</v>
      </c>
      <c r="E501" s="1">
        <v>42132</v>
      </c>
      <c r="F501" t="s">
        <v>17</v>
      </c>
      <c r="G501" t="s">
        <v>18</v>
      </c>
      <c r="H501" t="str">
        <f t="shared" si="21"/>
        <v>LOSS</v>
      </c>
      <c r="I501" t="s">
        <v>25</v>
      </c>
      <c r="J501" t="s">
        <v>228</v>
      </c>
      <c r="K501" t="s">
        <v>36</v>
      </c>
    </row>
    <row r="502" spans="1:11" x14ac:dyDescent="0.3">
      <c r="A502" t="s">
        <v>11</v>
      </c>
      <c r="B502" t="s">
        <v>16</v>
      </c>
      <c r="C502" t="str">
        <f t="shared" si="22"/>
        <v>IPL-2015</v>
      </c>
      <c r="D502">
        <f t="shared" si="23"/>
        <v>2015</v>
      </c>
      <c r="E502" s="1">
        <v>42133</v>
      </c>
      <c r="F502" t="s">
        <v>16</v>
      </c>
      <c r="G502" t="s">
        <v>18</v>
      </c>
      <c r="H502" t="str">
        <f t="shared" si="21"/>
        <v>LOSS</v>
      </c>
      <c r="I502" t="s">
        <v>11</v>
      </c>
      <c r="J502" t="s">
        <v>221</v>
      </c>
      <c r="K502" t="s">
        <v>30</v>
      </c>
    </row>
    <row r="503" spans="1:11" x14ac:dyDescent="0.3">
      <c r="A503" t="s">
        <v>21</v>
      </c>
      <c r="B503" t="s">
        <v>187</v>
      </c>
      <c r="C503" t="str">
        <f t="shared" si="22"/>
        <v>IPL-2015</v>
      </c>
      <c r="D503">
        <f t="shared" si="23"/>
        <v>2015</v>
      </c>
      <c r="E503" s="1">
        <v>42133</v>
      </c>
      <c r="F503" t="s">
        <v>187</v>
      </c>
      <c r="G503" t="s">
        <v>18</v>
      </c>
      <c r="H503" t="str">
        <f t="shared" si="21"/>
        <v>WIN</v>
      </c>
      <c r="I503" t="s">
        <v>187</v>
      </c>
      <c r="J503" t="s">
        <v>229</v>
      </c>
      <c r="K503" t="s">
        <v>195</v>
      </c>
    </row>
    <row r="504" spans="1:11" x14ac:dyDescent="0.3">
      <c r="A504" t="s">
        <v>25</v>
      </c>
      <c r="B504" t="s">
        <v>10</v>
      </c>
      <c r="C504" t="str">
        <f t="shared" si="22"/>
        <v>IPL-2015</v>
      </c>
      <c r="D504">
        <f t="shared" si="23"/>
        <v>2015</v>
      </c>
      <c r="E504" s="1">
        <v>42134</v>
      </c>
      <c r="F504" t="s">
        <v>10</v>
      </c>
      <c r="G504" t="s">
        <v>18</v>
      </c>
      <c r="H504" t="str">
        <f t="shared" si="21"/>
        <v>WIN</v>
      </c>
      <c r="I504" t="s">
        <v>10</v>
      </c>
      <c r="J504" t="s">
        <v>79</v>
      </c>
      <c r="K504" t="s">
        <v>27</v>
      </c>
    </row>
    <row r="505" spans="1:11" x14ac:dyDescent="0.3">
      <c r="A505" t="s">
        <v>17</v>
      </c>
      <c r="B505" t="s">
        <v>22</v>
      </c>
      <c r="C505" t="str">
        <f t="shared" si="22"/>
        <v>IPL-2015</v>
      </c>
      <c r="D505">
        <f t="shared" si="23"/>
        <v>2015</v>
      </c>
      <c r="E505" s="1">
        <v>42134</v>
      </c>
      <c r="F505" t="s">
        <v>17</v>
      </c>
      <c r="G505" t="s">
        <v>18</v>
      </c>
      <c r="H505" t="str">
        <f t="shared" si="21"/>
        <v>WIN</v>
      </c>
      <c r="I505" t="s">
        <v>17</v>
      </c>
      <c r="J505" t="s">
        <v>167</v>
      </c>
      <c r="K505" t="s">
        <v>36</v>
      </c>
    </row>
    <row r="506" spans="1:11" x14ac:dyDescent="0.3">
      <c r="A506" t="s">
        <v>187</v>
      </c>
      <c r="B506" t="s">
        <v>16</v>
      </c>
      <c r="C506" t="str">
        <f t="shared" si="22"/>
        <v>IPL-2015</v>
      </c>
      <c r="D506">
        <f t="shared" si="23"/>
        <v>2015</v>
      </c>
      <c r="E506" s="1">
        <v>42135</v>
      </c>
      <c r="F506" t="s">
        <v>187</v>
      </c>
      <c r="G506" t="s">
        <v>18</v>
      </c>
      <c r="H506" t="str">
        <f t="shared" si="21"/>
        <v>WIN</v>
      </c>
      <c r="I506" t="s">
        <v>187</v>
      </c>
      <c r="J506" t="s">
        <v>121</v>
      </c>
      <c r="K506" t="s">
        <v>34</v>
      </c>
    </row>
    <row r="507" spans="1:11" x14ac:dyDescent="0.3">
      <c r="A507" t="s">
        <v>21</v>
      </c>
      <c r="B507" t="s">
        <v>17</v>
      </c>
      <c r="C507" t="str">
        <f t="shared" si="22"/>
        <v>IPL-2015</v>
      </c>
      <c r="D507">
        <f t="shared" si="23"/>
        <v>2015</v>
      </c>
      <c r="E507" s="1">
        <v>42136</v>
      </c>
      <c r="F507" t="s">
        <v>17</v>
      </c>
      <c r="G507" t="s">
        <v>18</v>
      </c>
      <c r="H507" t="str">
        <f t="shared" si="21"/>
        <v>LOSS</v>
      </c>
      <c r="I507" t="s">
        <v>21</v>
      </c>
      <c r="J507" t="s">
        <v>230</v>
      </c>
      <c r="K507" t="s">
        <v>195</v>
      </c>
    </row>
    <row r="508" spans="1:11" x14ac:dyDescent="0.3">
      <c r="A508" t="s">
        <v>16</v>
      </c>
      <c r="B508" t="s">
        <v>10</v>
      </c>
      <c r="C508" t="str">
        <f t="shared" si="22"/>
        <v>IPL-2015</v>
      </c>
      <c r="D508">
        <f t="shared" si="23"/>
        <v>2015</v>
      </c>
      <c r="E508" s="1">
        <v>42137</v>
      </c>
      <c r="F508" t="s">
        <v>10</v>
      </c>
      <c r="G508" t="s">
        <v>12</v>
      </c>
      <c r="H508" t="str">
        <f t="shared" si="21"/>
        <v>LOSS</v>
      </c>
      <c r="I508" t="s">
        <v>16</v>
      </c>
      <c r="J508" t="s">
        <v>216</v>
      </c>
      <c r="K508" t="s">
        <v>20</v>
      </c>
    </row>
    <row r="509" spans="1:11" x14ac:dyDescent="0.3">
      <c r="A509" t="s">
        <v>25</v>
      </c>
      <c r="B509" t="s">
        <v>11</v>
      </c>
      <c r="C509" t="str">
        <f t="shared" si="22"/>
        <v>IPL-2015</v>
      </c>
      <c r="D509">
        <f t="shared" si="23"/>
        <v>2015</v>
      </c>
      <c r="E509" s="1">
        <v>42138</v>
      </c>
      <c r="F509" t="s">
        <v>11</v>
      </c>
      <c r="G509" t="s">
        <v>12</v>
      </c>
      <c r="H509" t="str">
        <f t="shared" si="21"/>
        <v>LOSS</v>
      </c>
      <c r="I509" t="s">
        <v>25</v>
      </c>
      <c r="J509" t="s">
        <v>228</v>
      </c>
      <c r="K509" t="s">
        <v>27</v>
      </c>
    </row>
    <row r="510" spans="1:11" x14ac:dyDescent="0.3">
      <c r="A510" t="s">
        <v>187</v>
      </c>
      <c r="B510" t="s">
        <v>10</v>
      </c>
      <c r="C510" t="str">
        <f t="shared" si="22"/>
        <v>IPL-2015</v>
      </c>
      <c r="D510">
        <f t="shared" si="23"/>
        <v>2015</v>
      </c>
      <c r="E510" s="1">
        <v>42139</v>
      </c>
      <c r="F510" t="s">
        <v>187</v>
      </c>
      <c r="G510" t="s">
        <v>18</v>
      </c>
      <c r="H510" t="str">
        <f t="shared" si="21"/>
        <v>LOSS</v>
      </c>
      <c r="I510" t="s">
        <v>10</v>
      </c>
      <c r="J510" t="s">
        <v>151</v>
      </c>
      <c r="K510" t="s">
        <v>34</v>
      </c>
    </row>
    <row r="511" spans="1:11" x14ac:dyDescent="0.3">
      <c r="A511" t="s">
        <v>22</v>
      </c>
      <c r="B511" t="s">
        <v>11</v>
      </c>
      <c r="C511" t="str">
        <f t="shared" si="22"/>
        <v>IPL-2015</v>
      </c>
      <c r="D511">
        <f t="shared" si="23"/>
        <v>2015</v>
      </c>
      <c r="E511" s="1">
        <v>42140</v>
      </c>
      <c r="F511" t="s">
        <v>22</v>
      </c>
      <c r="G511" t="s">
        <v>18</v>
      </c>
      <c r="H511" t="str">
        <f t="shared" si="21"/>
        <v>WIN</v>
      </c>
      <c r="I511" t="s">
        <v>22</v>
      </c>
      <c r="J511" t="s">
        <v>31</v>
      </c>
      <c r="K511" t="s">
        <v>108</v>
      </c>
    </row>
    <row r="512" spans="1:11" x14ac:dyDescent="0.3">
      <c r="A512" t="s">
        <v>16</v>
      </c>
      <c r="B512" t="s">
        <v>17</v>
      </c>
      <c r="C512" t="str">
        <f t="shared" si="22"/>
        <v>IPL-2015</v>
      </c>
      <c r="D512">
        <f t="shared" si="23"/>
        <v>2015</v>
      </c>
      <c r="E512" s="1">
        <v>42140</v>
      </c>
      <c r="F512" t="s">
        <v>16</v>
      </c>
      <c r="G512" t="s">
        <v>18</v>
      </c>
      <c r="H512" t="str">
        <f t="shared" si="21"/>
        <v>LOSS</v>
      </c>
      <c r="I512" t="s">
        <v>17</v>
      </c>
      <c r="J512" t="s">
        <v>181</v>
      </c>
      <c r="K512" t="s">
        <v>20</v>
      </c>
    </row>
    <row r="513" spans="1:11" x14ac:dyDescent="0.3">
      <c r="A513" t="s">
        <v>10</v>
      </c>
      <c r="B513" t="s">
        <v>21</v>
      </c>
      <c r="C513" t="str">
        <f t="shared" si="22"/>
        <v>IPL-2015</v>
      </c>
      <c r="D513">
        <f t="shared" si="23"/>
        <v>2015</v>
      </c>
      <c r="E513" s="1">
        <v>42141</v>
      </c>
      <c r="F513" t="s">
        <v>10</v>
      </c>
      <c r="G513" t="s">
        <v>12</v>
      </c>
      <c r="H513" t="str">
        <f t="shared" si="21"/>
        <v>LOSS</v>
      </c>
      <c r="J513" t="s">
        <v>15</v>
      </c>
      <c r="K513" t="s">
        <v>14</v>
      </c>
    </row>
    <row r="514" spans="1:11" x14ac:dyDescent="0.3">
      <c r="A514" t="s">
        <v>187</v>
      </c>
      <c r="B514" t="s">
        <v>25</v>
      </c>
      <c r="C514" t="str">
        <f t="shared" si="22"/>
        <v>IPL-2015</v>
      </c>
      <c r="D514">
        <f t="shared" si="23"/>
        <v>2015</v>
      </c>
      <c r="E514" s="1">
        <v>42141</v>
      </c>
      <c r="F514" t="s">
        <v>187</v>
      </c>
      <c r="G514" t="s">
        <v>18</v>
      </c>
      <c r="H514" t="str">
        <f t="shared" ref="H514:H577" si="24">IF(F514=I514,"WIN","LOSS")</f>
        <v>LOSS</v>
      </c>
      <c r="I514" t="s">
        <v>25</v>
      </c>
      <c r="J514" t="s">
        <v>231</v>
      </c>
      <c r="K514" t="s">
        <v>34</v>
      </c>
    </row>
    <row r="515" spans="1:11" x14ac:dyDescent="0.3">
      <c r="A515" t="s">
        <v>17</v>
      </c>
      <c r="B515" t="s">
        <v>25</v>
      </c>
      <c r="C515" t="str">
        <f t="shared" ref="C515:C578" si="25">_xlfn.CONCAT("IPL-",D515)</f>
        <v>IPL-2015</v>
      </c>
      <c r="D515">
        <f t="shared" ref="D515:D578" si="26">YEAR(E515)</f>
        <v>2015</v>
      </c>
      <c r="E515" s="1">
        <v>42143</v>
      </c>
      <c r="F515" t="s">
        <v>25</v>
      </c>
      <c r="G515" t="s">
        <v>18</v>
      </c>
      <c r="H515" t="str">
        <f t="shared" si="24"/>
        <v>WIN</v>
      </c>
      <c r="I515" t="s">
        <v>25</v>
      </c>
      <c r="J515" t="s">
        <v>134</v>
      </c>
      <c r="K515" t="s">
        <v>27</v>
      </c>
    </row>
    <row r="516" spans="1:11" x14ac:dyDescent="0.3">
      <c r="A516" t="s">
        <v>10</v>
      </c>
      <c r="B516" t="s">
        <v>22</v>
      </c>
      <c r="C516" t="str">
        <f t="shared" si="25"/>
        <v>IPL-2015</v>
      </c>
      <c r="D516">
        <f t="shared" si="26"/>
        <v>2015</v>
      </c>
      <c r="E516" s="1">
        <v>42144</v>
      </c>
      <c r="F516" t="s">
        <v>10</v>
      </c>
      <c r="G516" t="s">
        <v>18</v>
      </c>
      <c r="H516" t="str">
        <f t="shared" si="24"/>
        <v>WIN</v>
      </c>
      <c r="I516" t="s">
        <v>10</v>
      </c>
      <c r="J516" t="s">
        <v>79</v>
      </c>
      <c r="K516" t="s">
        <v>193</v>
      </c>
    </row>
    <row r="517" spans="1:11" x14ac:dyDescent="0.3">
      <c r="A517" t="s">
        <v>17</v>
      </c>
      <c r="B517" t="s">
        <v>10</v>
      </c>
      <c r="C517" t="str">
        <f t="shared" si="25"/>
        <v>IPL-2015</v>
      </c>
      <c r="D517">
        <f t="shared" si="26"/>
        <v>2015</v>
      </c>
      <c r="E517" s="1">
        <v>42146</v>
      </c>
      <c r="F517" t="s">
        <v>17</v>
      </c>
      <c r="G517" t="s">
        <v>12</v>
      </c>
      <c r="H517" t="str">
        <f t="shared" si="24"/>
        <v>WIN</v>
      </c>
      <c r="I517" t="s">
        <v>17</v>
      </c>
      <c r="J517" t="s">
        <v>53</v>
      </c>
      <c r="K517" t="s">
        <v>201</v>
      </c>
    </row>
    <row r="518" spans="1:11" x14ac:dyDescent="0.3">
      <c r="A518" t="s">
        <v>25</v>
      </c>
      <c r="B518" t="s">
        <v>17</v>
      </c>
      <c r="C518" t="str">
        <f t="shared" si="25"/>
        <v>IPL-2015</v>
      </c>
      <c r="D518">
        <f t="shared" si="26"/>
        <v>2015</v>
      </c>
      <c r="E518" s="1">
        <v>42148</v>
      </c>
      <c r="F518" t="s">
        <v>17</v>
      </c>
      <c r="G518" t="s">
        <v>12</v>
      </c>
      <c r="H518" t="str">
        <f t="shared" si="24"/>
        <v>LOSS</v>
      </c>
      <c r="I518" t="s">
        <v>25</v>
      </c>
      <c r="J518" t="s">
        <v>93</v>
      </c>
      <c r="K518" t="s">
        <v>30</v>
      </c>
    </row>
    <row r="519" spans="1:11" x14ac:dyDescent="0.3">
      <c r="A519" t="s">
        <v>25</v>
      </c>
      <c r="B519" t="s">
        <v>232</v>
      </c>
      <c r="C519" t="str">
        <f t="shared" si="25"/>
        <v>IPL-2016</v>
      </c>
      <c r="D519">
        <f t="shared" si="26"/>
        <v>2016</v>
      </c>
      <c r="E519" s="1">
        <v>42469</v>
      </c>
      <c r="F519" t="s">
        <v>25</v>
      </c>
      <c r="G519" t="s">
        <v>18</v>
      </c>
      <c r="H519" t="str">
        <f t="shared" si="24"/>
        <v>LOSS</v>
      </c>
      <c r="I519" t="s">
        <v>232</v>
      </c>
      <c r="J519" t="s">
        <v>166</v>
      </c>
      <c r="K519" t="s">
        <v>27</v>
      </c>
    </row>
    <row r="520" spans="1:11" x14ac:dyDescent="0.3">
      <c r="A520" t="s">
        <v>11</v>
      </c>
      <c r="B520" t="s">
        <v>21</v>
      </c>
      <c r="C520" t="str">
        <f t="shared" si="25"/>
        <v>IPL-2016</v>
      </c>
      <c r="D520">
        <f t="shared" si="26"/>
        <v>2016</v>
      </c>
      <c r="E520" s="1">
        <v>42470</v>
      </c>
      <c r="F520" t="s">
        <v>11</v>
      </c>
      <c r="G520" t="s">
        <v>12</v>
      </c>
      <c r="H520" t="str">
        <f t="shared" si="24"/>
        <v>WIN</v>
      </c>
      <c r="I520" t="s">
        <v>11</v>
      </c>
      <c r="J520" t="s">
        <v>221</v>
      </c>
      <c r="K520" t="s">
        <v>30</v>
      </c>
    </row>
    <row r="521" spans="1:11" x14ac:dyDescent="0.3">
      <c r="A521" t="s">
        <v>16</v>
      </c>
      <c r="B521" t="s">
        <v>233</v>
      </c>
      <c r="C521" t="str">
        <f t="shared" si="25"/>
        <v>IPL-2016</v>
      </c>
      <c r="D521">
        <f t="shared" si="26"/>
        <v>2016</v>
      </c>
      <c r="E521" s="1">
        <v>42471</v>
      </c>
      <c r="F521" t="s">
        <v>233</v>
      </c>
      <c r="G521" t="s">
        <v>12</v>
      </c>
      <c r="H521" t="str">
        <f t="shared" si="24"/>
        <v>WIN</v>
      </c>
      <c r="I521" t="s">
        <v>233</v>
      </c>
      <c r="J521" t="s">
        <v>190</v>
      </c>
      <c r="K521" t="s">
        <v>234</v>
      </c>
    </row>
    <row r="522" spans="1:11" x14ac:dyDescent="0.3">
      <c r="A522" t="s">
        <v>10</v>
      </c>
      <c r="B522" t="s">
        <v>187</v>
      </c>
      <c r="C522" t="str">
        <f t="shared" si="25"/>
        <v>IPL-2016</v>
      </c>
      <c r="D522">
        <f t="shared" si="26"/>
        <v>2016</v>
      </c>
      <c r="E522" s="1">
        <v>42472</v>
      </c>
      <c r="F522" t="s">
        <v>187</v>
      </c>
      <c r="G522" t="s">
        <v>12</v>
      </c>
      <c r="H522" t="str">
        <f t="shared" si="24"/>
        <v>LOSS</v>
      </c>
      <c r="I522" t="s">
        <v>10</v>
      </c>
      <c r="J522" t="s">
        <v>79</v>
      </c>
      <c r="K522" t="s">
        <v>14</v>
      </c>
    </row>
    <row r="523" spans="1:11" x14ac:dyDescent="0.3">
      <c r="A523" t="s">
        <v>11</v>
      </c>
      <c r="B523" t="s">
        <v>25</v>
      </c>
      <c r="C523" t="str">
        <f t="shared" si="25"/>
        <v>IPL-2016</v>
      </c>
      <c r="D523">
        <f t="shared" si="26"/>
        <v>2016</v>
      </c>
      <c r="E523" s="1">
        <v>42473</v>
      </c>
      <c r="F523" t="s">
        <v>25</v>
      </c>
      <c r="G523" t="s">
        <v>12</v>
      </c>
      <c r="H523" t="str">
        <f t="shared" si="24"/>
        <v>WIN</v>
      </c>
      <c r="I523" t="s">
        <v>25</v>
      </c>
      <c r="J523" t="s">
        <v>93</v>
      </c>
      <c r="K523" t="s">
        <v>30</v>
      </c>
    </row>
    <row r="524" spans="1:11" x14ac:dyDescent="0.3">
      <c r="A524" t="s">
        <v>233</v>
      </c>
      <c r="B524" t="s">
        <v>232</v>
      </c>
      <c r="C524" t="str">
        <f t="shared" si="25"/>
        <v>IPL-2016</v>
      </c>
      <c r="D524">
        <f t="shared" si="26"/>
        <v>2016</v>
      </c>
      <c r="E524" s="1">
        <v>42474</v>
      </c>
      <c r="F524" t="s">
        <v>232</v>
      </c>
      <c r="G524" t="s">
        <v>18</v>
      </c>
      <c r="H524" t="str">
        <f t="shared" si="24"/>
        <v>LOSS</v>
      </c>
      <c r="I524" t="s">
        <v>233</v>
      </c>
      <c r="J524" t="s">
        <v>190</v>
      </c>
      <c r="K524" t="s">
        <v>235</v>
      </c>
    </row>
    <row r="525" spans="1:11" x14ac:dyDescent="0.3">
      <c r="A525" t="s">
        <v>21</v>
      </c>
      <c r="B525" t="s">
        <v>16</v>
      </c>
      <c r="C525" t="str">
        <f t="shared" si="25"/>
        <v>IPL-2016</v>
      </c>
      <c r="D525">
        <f t="shared" si="26"/>
        <v>2016</v>
      </c>
      <c r="E525" s="1">
        <v>42475</v>
      </c>
      <c r="F525" t="s">
        <v>21</v>
      </c>
      <c r="G525" t="s">
        <v>12</v>
      </c>
      <c r="H525" t="str">
        <f t="shared" si="24"/>
        <v>WIN</v>
      </c>
      <c r="I525" t="s">
        <v>21</v>
      </c>
      <c r="J525" t="s">
        <v>57</v>
      </c>
      <c r="K525" t="s">
        <v>24</v>
      </c>
    </row>
    <row r="526" spans="1:11" x14ac:dyDescent="0.3">
      <c r="A526" t="s">
        <v>187</v>
      </c>
      <c r="B526" t="s">
        <v>11</v>
      </c>
      <c r="C526" t="str">
        <f t="shared" si="25"/>
        <v>IPL-2016</v>
      </c>
      <c r="D526">
        <f t="shared" si="26"/>
        <v>2016</v>
      </c>
      <c r="E526" s="1">
        <v>42476</v>
      </c>
      <c r="F526" t="s">
        <v>187</v>
      </c>
      <c r="G526" t="s">
        <v>18</v>
      </c>
      <c r="H526" t="str">
        <f t="shared" si="24"/>
        <v>LOSS</v>
      </c>
      <c r="I526" t="s">
        <v>11</v>
      </c>
      <c r="J526" t="s">
        <v>92</v>
      </c>
      <c r="K526" t="s">
        <v>34</v>
      </c>
    </row>
    <row r="527" spans="1:11" x14ac:dyDescent="0.3">
      <c r="A527" t="s">
        <v>25</v>
      </c>
      <c r="B527" t="s">
        <v>233</v>
      </c>
      <c r="C527" t="str">
        <f t="shared" si="25"/>
        <v>IPL-2016</v>
      </c>
      <c r="D527">
        <f t="shared" si="26"/>
        <v>2016</v>
      </c>
      <c r="E527" s="1">
        <v>42476</v>
      </c>
      <c r="F527" t="s">
        <v>233</v>
      </c>
      <c r="G527" t="s">
        <v>12</v>
      </c>
      <c r="H527" t="str">
        <f t="shared" si="24"/>
        <v>WIN</v>
      </c>
      <c r="I527" t="s">
        <v>233</v>
      </c>
      <c r="J527" t="s">
        <v>190</v>
      </c>
      <c r="K527" t="s">
        <v>27</v>
      </c>
    </row>
    <row r="528" spans="1:11" x14ac:dyDescent="0.3">
      <c r="A528" t="s">
        <v>16</v>
      </c>
      <c r="B528" t="s">
        <v>232</v>
      </c>
      <c r="C528" t="str">
        <f t="shared" si="25"/>
        <v>IPL-2016</v>
      </c>
      <c r="D528">
        <f t="shared" si="26"/>
        <v>2016</v>
      </c>
      <c r="E528" s="1">
        <v>42477</v>
      </c>
      <c r="F528" t="s">
        <v>232</v>
      </c>
      <c r="G528" t="s">
        <v>18</v>
      </c>
      <c r="H528" t="str">
        <f t="shared" si="24"/>
        <v>LOSS</v>
      </c>
      <c r="I528" t="s">
        <v>16</v>
      </c>
      <c r="J528" t="s">
        <v>189</v>
      </c>
      <c r="K528" t="s">
        <v>234</v>
      </c>
    </row>
    <row r="529" spans="1:11" x14ac:dyDescent="0.3">
      <c r="A529" t="s">
        <v>10</v>
      </c>
      <c r="B529" t="s">
        <v>21</v>
      </c>
      <c r="C529" t="str">
        <f t="shared" si="25"/>
        <v>IPL-2016</v>
      </c>
      <c r="D529">
        <f t="shared" si="26"/>
        <v>2016</v>
      </c>
      <c r="E529" s="1">
        <v>42477</v>
      </c>
      <c r="F529" t="s">
        <v>21</v>
      </c>
      <c r="G529" t="s">
        <v>12</v>
      </c>
      <c r="H529" t="str">
        <f t="shared" si="24"/>
        <v>WIN</v>
      </c>
      <c r="I529" t="s">
        <v>21</v>
      </c>
      <c r="J529" t="s">
        <v>236</v>
      </c>
      <c r="K529" t="s">
        <v>14</v>
      </c>
    </row>
    <row r="530" spans="1:11" x14ac:dyDescent="0.3">
      <c r="A530" t="s">
        <v>187</v>
      </c>
      <c r="B530" t="s">
        <v>25</v>
      </c>
      <c r="C530" t="str">
        <f t="shared" si="25"/>
        <v>IPL-2016</v>
      </c>
      <c r="D530">
        <f t="shared" si="26"/>
        <v>2016</v>
      </c>
      <c r="E530" s="1">
        <v>42478</v>
      </c>
      <c r="F530" t="s">
        <v>187</v>
      </c>
      <c r="G530" t="s">
        <v>12</v>
      </c>
      <c r="H530" t="str">
        <f t="shared" si="24"/>
        <v>WIN</v>
      </c>
      <c r="I530" t="s">
        <v>187</v>
      </c>
      <c r="J530" t="s">
        <v>121</v>
      </c>
      <c r="K530" t="s">
        <v>34</v>
      </c>
    </row>
    <row r="531" spans="1:11" x14ac:dyDescent="0.3">
      <c r="A531" t="s">
        <v>16</v>
      </c>
      <c r="B531" t="s">
        <v>11</v>
      </c>
      <c r="C531" t="str">
        <f t="shared" si="25"/>
        <v>IPL-2016</v>
      </c>
      <c r="D531">
        <f t="shared" si="26"/>
        <v>2016</v>
      </c>
      <c r="E531" s="1">
        <v>42479</v>
      </c>
      <c r="F531" t="s">
        <v>11</v>
      </c>
      <c r="G531" t="s">
        <v>12</v>
      </c>
      <c r="H531" t="str">
        <f t="shared" si="24"/>
        <v>WIN</v>
      </c>
      <c r="I531" t="s">
        <v>11</v>
      </c>
      <c r="J531" t="s">
        <v>116</v>
      </c>
      <c r="K531" t="s">
        <v>234</v>
      </c>
    </row>
    <row r="532" spans="1:11" x14ac:dyDescent="0.3">
      <c r="A532" t="s">
        <v>25</v>
      </c>
      <c r="B532" t="s">
        <v>10</v>
      </c>
      <c r="C532" t="str">
        <f t="shared" si="25"/>
        <v>IPL-2016</v>
      </c>
      <c r="D532">
        <f t="shared" si="26"/>
        <v>2016</v>
      </c>
      <c r="E532" s="1">
        <v>42480</v>
      </c>
      <c r="F532" t="s">
        <v>25</v>
      </c>
      <c r="G532" t="s">
        <v>12</v>
      </c>
      <c r="H532" t="str">
        <f t="shared" si="24"/>
        <v>WIN</v>
      </c>
      <c r="I532" t="s">
        <v>25</v>
      </c>
      <c r="J532" t="s">
        <v>93</v>
      </c>
      <c r="K532" t="s">
        <v>27</v>
      </c>
    </row>
    <row r="533" spans="1:11" x14ac:dyDescent="0.3">
      <c r="A533" t="s">
        <v>233</v>
      </c>
      <c r="B533" t="s">
        <v>187</v>
      </c>
      <c r="C533" t="str">
        <f t="shared" si="25"/>
        <v>IPL-2016</v>
      </c>
      <c r="D533">
        <f t="shared" si="26"/>
        <v>2016</v>
      </c>
      <c r="E533" s="1">
        <v>42481</v>
      </c>
      <c r="F533" t="s">
        <v>187</v>
      </c>
      <c r="G533" t="s">
        <v>12</v>
      </c>
      <c r="H533" t="str">
        <f t="shared" si="24"/>
        <v>WIN</v>
      </c>
      <c r="I533" t="s">
        <v>187</v>
      </c>
      <c r="J533" t="s">
        <v>213</v>
      </c>
      <c r="K533" t="s">
        <v>235</v>
      </c>
    </row>
    <row r="534" spans="1:11" x14ac:dyDescent="0.3">
      <c r="A534" t="s">
        <v>232</v>
      </c>
      <c r="B534" t="s">
        <v>10</v>
      </c>
      <c r="C534" t="str">
        <f t="shared" si="25"/>
        <v>IPL-2016</v>
      </c>
      <c r="D534">
        <f t="shared" si="26"/>
        <v>2016</v>
      </c>
      <c r="E534" s="1">
        <v>42482</v>
      </c>
      <c r="F534" t="s">
        <v>232</v>
      </c>
      <c r="G534" t="s">
        <v>12</v>
      </c>
      <c r="H534" t="str">
        <f t="shared" si="24"/>
        <v>LOSS</v>
      </c>
      <c r="I534" t="s">
        <v>10</v>
      </c>
      <c r="J534" t="s">
        <v>79</v>
      </c>
      <c r="K534" t="s">
        <v>193</v>
      </c>
    </row>
    <row r="535" spans="1:11" x14ac:dyDescent="0.3">
      <c r="A535" t="s">
        <v>187</v>
      </c>
      <c r="B535" t="s">
        <v>16</v>
      </c>
      <c r="C535" t="str">
        <f t="shared" si="25"/>
        <v>IPL-2016</v>
      </c>
      <c r="D535">
        <f t="shared" si="26"/>
        <v>2016</v>
      </c>
      <c r="E535" s="1">
        <v>42483</v>
      </c>
      <c r="F535" t="s">
        <v>187</v>
      </c>
      <c r="G535" t="s">
        <v>12</v>
      </c>
      <c r="H535" t="str">
        <f t="shared" si="24"/>
        <v>WIN</v>
      </c>
      <c r="I535" t="s">
        <v>187</v>
      </c>
      <c r="J535" t="s">
        <v>237</v>
      </c>
      <c r="K535" t="s">
        <v>34</v>
      </c>
    </row>
    <row r="536" spans="1:11" x14ac:dyDescent="0.3">
      <c r="A536" t="s">
        <v>21</v>
      </c>
      <c r="B536" t="s">
        <v>25</v>
      </c>
      <c r="C536" t="str">
        <f t="shared" si="25"/>
        <v>IPL-2016</v>
      </c>
      <c r="D536">
        <f t="shared" si="26"/>
        <v>2016</v>
      </c>
      <c r="E536" s="1">
        <v>42483</v>
      </c>
      <c r="F536" t="s">
        <v>25</v>
      </c>
      <c r="G536" t="s">
        <v>12</v>
      </c>
      <c r="H536" t="str">
        <f t="shared" si="24"/>
        <v>LOSS</v>
      </c>
      <c r="I536" t="s">
        <v>21</v>
      </c>
      <c r="J536" t="s">
        <v>196</v>
      </c>
      <c r="K536" t="s">
        <v>24</v>
      </c>
    </row>
    <row r="537" spans="1:11" x14ac:dyDescent="0.3">
      <c r="A537" t="s">
        <v>232</v>
      </c>
      <c r="B537" t="s">
        <v>11</v>
      </c>
      <c r="C537" t="str">
        <f t="shared" si="25"/>
        <v>IPL-2016</v>
      </c>
      <c r="D537">
        <f t="shared" si="26"/>
        <v>2016</v>
      </c>
      <c r="E537" s="1">
        <v>42484</v>
      </c>
      <c r="F537" t="s">
        <v>11</v>
      </c>
      <c r="G537" t="s">
        <v>12</v>
      </c>
      <c r="H537" t="str">
        <f t="shared" si="24"/>
        <v>WIN</v>
      </c>
      <c r="I537" t="s">
        <v>11</v>
      </c>
      <c r="J537" t="s">
        <v>238</v>
      </c>
      <c r="K537" t="s">
        <v>193</v>
      </c>
    </row>
    <row r="538" spans="1:11" x14ac:dyDescent="0.3">
      <c r="A538" t="s">
        <v>233</v>
      </c>
      <c r="B538" t="s">
        <v>10</v>
      </c>
      <c r="C538" t="str">
        <f t="shared" si="25"/>
        <v>IPL-2016</v>
      </c>
      <c r="D538">
        <f t="shared" si="26"/>
        <v>2016</v>
      </c>
      <c r="E538" s="1">
        <v>42484</v>
      </c>
      <c r="F538" t="s">
        <v>10</v>
      </c>
      <c r="G538" t="s">
        <v>18</v>
      </c>
      <c r="H538" t="str">
        <f t="shared" si="24"/>
        <v>LOSS</v>
      </c>
      <c r="I538" t="s">
        <v>233</v>
      </c>
      <c r="J538" t="s">
        <v>151</v>
      </c>
      <c r="K538" t="s">
        <v>235</v>
      </c>
    </row>
    <row r="539" spans="1:11" x14ac:dyDescent="0.3">
      <c r="A539" t="s">
        <v>16</v>
      </c>
      <c r="B539" t="s">
        <v>25</v>
      </c>
      <c r="C539" t="str">
        <f t="shared" si="25"/>
        <v>IPL-2016</v>
      </c>
      <c r="D539">
        <f t="shared" si="26"/>
        <v>2016</v>
      </c>
      <c r="E539" s="1">
        <v>42485</v>
      </c>
      <c r="F539" t="s">
        <v>16</v>
      </c>
      <c r="G539" t="s">
        <v>12</v>
      </c>
      <c r="H539" t="str">
        <f t="shared" si="24"/>
        <v>LOSS</v>
      </c>
      <c r="I539" t="s">
        <v>25</v>
      </c>
      <c r="J539" t="s">
        <v>200</v>
      </c>
      <c r="K539" t="s">
        <v>234</v>
      </c>
    </row>
    <row r="540" spans="1:11" x14ac:dyDescent="0.3">
      <c r="A540" t="s">
        <v>187</v>
      </c>
      <c r="B540" t="s">
        <v>232</v>
      </c>
      <c r="C540" t="str">
        <f t="shared" si="25"/>
        <v>IPL-2016</v>
      </c>
      <c r="D540">
        <f t="shared" si="26"/>
        <v>2016</v>
      </c>
      <c r="E540" s="1">
        <v>42486</v>
      </c>
      <c r="F540" t="s">
        <v>232</v>
      </c>
      <c r="G540" t="s">
        <v>12</v>
      </c>
      <c r="H540" t="str">
        <f t="shared" si="24"/>
        <v>WIN</v>
      </c>
      <c r="I540" t="s">
        <v>232</v>
      </c>
      <c r="J540" t="s">
        <v>239</v>
      </c>
      <c r="K540" t="s">
        <v>34</v>
      </c>
    </row>
    <row r="541" spans="1:11" x14ac:dyDescent="0.3">
      <c r="A541" t="s">
        <v>21</v>
      </c>
      <c r="B541" t="s">
        <v>233</v>
      </c>
      <c r="C541" t="str">
        <f t="shared" si="25"/>
        <v>IPL-2016</v>
      </c>
      <c r="D541">
        <f t="shared" si="26"/>
        <v>2016</v>
      </c>
      <c r="E541" s="1">
        <v>42487</v>
      </c>
      <c r="F541" t="s">
        <v>21</v>
      </c>
      <c r="G541" t="s">
        <v>12</v>
      </c>
      <c r="H541" t="str">
        <f t="shared" si="24"/>
        <v>LOSS</v>
      </c>
      <c r="I541" t="s">
        <v>233</v>
      </c>
      <c r="J541" t="s">
        <v>240</v>
      </c>
      <c r="K541" t="s">
        <v>24</v>
      </c>
    </row>
    <row r="542" spans="1:11" x14ac:dyDescent="0.3">
      <c r="A542" t="s">
        <v>25</v>
      </c>
      <c r="B542" t="s">
        <v>11</v>
      </c>
      <c r="C542" t="str">
        <f t="shared" si="25"/>
        <v>IPL-2016</v>
      </c>
      <c r="D542">
        <f t="shared" si="26"/>
        <v>2016</v>
      </c>
      <c r="E542" s="1">
        <v>42488</v>
      </c>
      <c r="F542" t="s">
        <v>25</v>
      </c>
      <c r="G542" t="s">
        <v>12</v>
      </c>
      <c r="H542" t="str">
        <f t="shared" si="24"/>
        <v>WIN</v>
      </c>
      <c r="I542" t="s">
        <v>25</v>
      </c>
      <c r="J542" t="s">
        <v>93</v>
      </c>
      <c r="K542" t="s">
        <v>27</v>
      </c>
    </row>
    <row r="543" spans="1:11" x14ac:dyDescent="0.3">
      <c r="A543" t="s">
        <v>232</v>
      </c>
      <c r="B543" t="s">
        <v>233</v>
      </c>
      <c r="C543" t="str">
        <f t="shared" si="25"/>
        <v>IPL-2016</v>
      </c>
      <c r="D543">
        <f t="shared" si="26"/>
        <v>2016</v>
      </c>
      <c r="E543" s="1">
        <v>42489</v>
      </c>
      <c r="F543" t="s">
        <v>233</v>
      </c>
      <c r="G543" t="s">
        <v>12</v>
      </c>
      <c r="H543" t="str">
        <f t="shared" si="24"/>
        <v>WIN</v>
      </c>
      <c r="I543" t="s">
        <v>233</v>
      </c>
      <c r="J543" t="s">
        <v>97</v>
      </c>
      <c r="K543" t="s">
        <v>193</v>
      </c>
    </row>
    <row r="544" spans="1:11" x14ac:dyDescent="0.3">
      <c r="A544" t="s">
        <v>187</v>
      </c>
      <c r="B544" t="s">
        <v>10</v>
      </c>
      <c r="C544" t="str">
        <f t="shared" si="25"/>
        <v>IPL-2016</v>
      </c>
      <c r="D544">
        <f t="shared" si="26"/>
        <v>2016</v>
      </c>
      <c r="E544" s="1">
        <v>42490</v>
      </c>
      <c r="F544" t="s">
        <v>10</v>
      </c>
      <c r="G544" t="s">
        <v>12</v>
      </c>
      <c r="H544" t="str">
        <f t="shared" si="24"/>
        <v>LOSS</v>
      </c>
      <c r="I544" t="s">
        <v>187</v>
      </c>
      <c r="J544" t="s">
        <v>121</v>
      </c>
      <c r="K544" t="s">
        <v>34</v>
      </c>
    </row>
    <row r="545" spans="1:11" x14ac:dyDescent="0.3">
      <c r="A545" t="s">
        <v>21</v>
      </c>
      <c r="B545" t="s">
        <v>11</v>
      </c>
      <c r="C545" t="str">
        <f t="shared" si="25"/>
        <v>IPL-2016</v>
      </c>
      <c r="D545">
        <f t="shared" si="26"/>
        <v>2016</v>
      </c>
      <c r="E545" s="1">
        <v>42490</v>
      </c>
      <c r="F545" t="s">
        <v>11</v>
      </c>
      <c r="G545" t="s">
        <v>12</v>
      </c>
      <c r="H545" t="str">
        <f t="shared" si="24"/>
        <v>LOSS</v>
      </c>
      <c r="I545" t="s">
        <v>21</v>
      </c>
      <c r="J545" t="s">
        <v>241</v>
      </c>
      <c r="K545" t="s">
        <v>24</v>
      </c>
    </row>
    <row r="546" spans="1:11" x14ac:dyDescent="0.3">
      <c r="A546" t="s">
        <v>233</v>
      </c>
      <c r="B546" t="s">
        <v>16</v>
      </c>
      <c r="C546" t="str">
        <f t="shared" si="25"/>
        <v>IPL-2016</v>
      </c>
      <c r="D546">
        <f t="shared" si="26"/>
        <v>2016</v>
      </c>
      <c r="E546" s="1">
        <v>42491</v>
      </c>
      <c r="F546" t="s">
        <v>233</v>
      </c>
      <c r="G546" t="s">
        <v>12</v>
      </c>
      <c r="H546" t="str">
        <f t="shared" si="24"/>
        <v>LOSS</v>
      </c>
      <c r="I546" t="s">
        <v>16</v>
      </c>
      <c r="J546" t="s">
        <v>216</v>
      </c>
      <c r="K546" t="s">
        <v>235</v>
      </c>
    </row>
    <row r="547" spans="1:11" x14ac:dyDescent="0.3">
      <c r="A547" t="s">
        <v>232</v>
      </c>
      <c r="B547" t="s">
        <v>25</v>
      </c>
      <c r="C547" t="str">
        <f t="shared" si="25"/>
        <v>IPL-2016</v>
      </c>
      <c r="D547">
        <f t="shared" si="26"/>
        <v>2016</v>
      </c>
      <c r="E547" s="1">
        <v>42491</v>
      </c>
      <c r="F547" t="s">
        <v>25</v>
      </c>
      <c r="G547" t="s">
        <v>12</v>
      </c>
      <c r="H547" t="str">
        <f t="shared" si="24"/>
        <v>WIN</v>
      </c>
      <c r="I547" t="s">
        <v>25</v>
      </c>
      <c r="J547" t="s">
        <v>93</v>
      </c>
      <c r="K547" t="s">
        <v>193</v>
      </c>
    </row>
    <row r="548" spans="1:11" x14ac:dyDescent="0.3">
      <c r="A548" t="s">
        <v>10</v>
      </c>
      <c r="B548" t="s">
        <v>11</v>
      </c>
      <c r="C548" t="str">
        <f t="shared" si="25"/>
        <v>IPL-2016</v>
      </c>
      <c r="D548">
        <f t="shared" si="26"/>
        <v>2016</v>
      </c>
      <c r="E548" s="1">
        <v>42492</v>
      </c>
      <c r="F548" t="s">
        <v>11</v>
      </c>
      <c r="G548" t="s">
        <v>12</v>
      </c>
      <c r="H548" t="str">
        <f t="shared" si="24"/>
        <v>WIN</v>
      </c>
      <c r="I548" t="s">
        <v>11</v>
      </c>
      <c r="J548" t="s">
        <v>221</v>
      </c>
      <c r="K548" t="s">
        <v>14</v>
      </c>
    </row>
    <row r="549" spans="1:11" x14ac:dyDescent="0.3">
      <c r="A549" t="s">
        <v>233</v>
      </c>
      <c r="B549" t="s">
        <v>21</v>
      </c>
      <c r="C549" t="str">
        <f t="shared" si="25"/>
        <v>IPL-2016</v>
      </c>
      <c r="D549">
        <f t="shared" si="26"/>
        <v>2016</v>
      </c>
      <c r="E549" s="1">
        <v>42493</v>
      </c>
      <c r="F549" t="s">
        <v>21</v>
      </c>
      <c r="G549" t="s">
        <v>12</v>
      </c>
      <c r="H549" t="str">
        <f t="shared" si="24"/>
        <v>WIN</v>
      </c>
      <c r="I549" t="s">
        <v>21</v>
      </c>
      <c r="J549" t="s">
        <v>242</v>
      </c>
      <c r="K549" t="s">
        <v>235</v>
      </c>
    </row>
    <row r="550" spans="1:11" x14ac:dyDescent="0.3">
      <c r="A550" t="s">
        <v>11</v>
      </c>
      <c r="B550" t="s">
        <v>16</v>
      </c>
      <c r="C550" t="str">
        <f t="shared" si="25"/>
        <v>IPL-2016</v>
      </c>
      <c r="D550">
        <f t="shared" si="26"/>
        <v>2016</v>
      </c>
      <c r="E550" s="1">
        <v>42494</v>
      </c>
      <c r="F550" t="s">
        <v>16</v>
      </c>
      <c r="G550" t="s">
        <v>12</v>
      </c>
      <c r="H550" t="str">
        <f t="shared" si="24"/>
        <v>LOSS</v>
      </c>
      <c r="I550" t="s">
        <v>11</v>
      </c>
      <c r="J550" t="s">
        <v>221</v>
      </c>
      <c r="K550" t="s">
        <v>30</v>
      </c>
    </row>
    <row r="551" spans="1:11" x14ac:dyDescent="0.3">
      <c r="A551" t="s">
        <v>21</v>
      </c>
      <c r="B551" t="s">
        <v>232</v>
      </c>
      <c r="C551" t="str">
        <f t="shared" si="25"/>
        <v>IPL-2016</v>
      </c>
      <c r="D551">
        <f t="shared" si="26"/>
        <v>2016</v>
      </c>
      <c r="E551" s="1">
        <v>42495</v>
      </c>
      <c r="F551" t="s">
        <v>232</v>
      </c>
      <c r="G551" t="s">
        <v>12</v>
      </c>
      <c r="H551" t="str">
        <f t="shared" si="24"/>
        <v>WIN</v>
      </c>
      <c r="I551" t="s">
        <v>232</v>
      </c>
      <c r="J551" t="s">
        <v>166</v>
      </c>
      <c r="K551" t="s">
        <v>24</v>
      </c>
    </row>
    <row r="552" spans="1:11" x14ac:dyDescent="0.3">
      <c r="A552" t="s">
        <v>187</v>
      </c>
      <c r="B552" t="s">
        <v>233</v>
      </c>
      <c r="C552" t="str">
        <f t="shared" si="25"/>
        <v>IPL-2016</v>
      </c>
      <c r="D552">
        <f t="shared" si="26"/>
        <v>2016</v>
      </c>
      <c r="E552" s="1">
        <v>42496</v>
      </c>
      <c r="F552" t="s">
        <v>187</v>
      </c>
      <c r="G552" t="s">
        <v>12</v>
      </c>
      <c r="H552" t="str">
        <f t="shared" si="24"/>
        <v>WIN</v>
      </c>
      <c r="I552" t="s">
        <v>187</v>
      </c>
      <c r="J552" t="s">
        <v>213</v>
      </c>
      <c r="K552" t="s">
        <v>34</v>
      </c>
    </row>
    <row r="553" spans="1:11" x14ac:dyDescent="0.3">
      <c r="A553" t="s">
        <v>16</v>
      </c>
      <c r="B553" t="s">
        <v>21</v>
      </c>
      <c r="C553" t="str">
        <f t="shared" si="25"/>
        <v>IPL-2016</v>
      </c>
      <c r="D553">
        <f t="shared" si="26"/>
        <v>2016</v>
      </c>
      <c r="E553" s="1">
        <v>42497</v>
      </c>
      <c r="F553" t="s">
        <v>21</v>
      </c>
      <c r="G553" t="s">
        <v>12</v>
      </c>
      <c r="H553" t="str">
        <f t="shared" si="24"/>
        <v>LOSS</v>
      </c>
      <c r="I553" t="s">
        <v>16</v>
      </c>
      <c r="J553" t="s">
        <v>243</v>
      </c>
      <c r="K553" t="s">
        <v>234</v>
      </c>
    </row>
    <row r="554" spans="1:11" x14ac:dyDescent="0.3">
      <c r="A554" t="s">
        <v>10</v>
      </c>
      <c r="B554" t="s">
        <v>232</v>
      </c>
      <c r="C554" t="str">
        <f t="shared" si="25"/>
        <v>IPL-2016</v>
      </c>
      <c r="D554">
        <f t="shared" si="26"/>
        <v>2016</v>
      </c>
      <c r="E554" s="1">
        <v>42497</v>
      </c>
      <c r="F554" t="s">
        <v>10</v>
      </c>
      <c r="G554" t="s">
        <v>12</v>
      </c>
      <c r="H554" t="str">
        <f t="shared" si="24"/>
        <v>WIN</v>
      </c>
      <c r="I554" t="s">
        <v>10</v>
      </c>
      <c r="J554" t="s">
        <v>151</v>
      </c>
      <c r="K554" t="s">
        <v>14</v>
      </c>
    </row>
    <row r="555" spans="1:11" x14ac:dyDescent="0.3">
      <c r="A555" t="s">
        <v>11</v>
      </c>
      <c r="B555" t="s">
        <v>233</v>
      </c>
      <c r="C555" t="str">
        <f t="shared" si="25"/>
        <v>IPL-2016</v>
      </c>
      <c r="D555">
        <f t="shared" si="26"/>
        <v>2016</v>
      </c>
      <c r="E555" s="1">
        <v>42498</v>
      </c>
      <c r="F555" t="s">
        <v>233</v>
      </c>
      <c r="G555" t="s">
        <v>12</v>
      </c>
      <c r="H555" t="str">
        <f t="shared" si="24"/>
        <v>WIN</v>
      </c>
      <c r="I555" t="s">
        <v>233</v>
      </c>
      <c r="J555" t="s">
        <v>48</v>
      </c>
      <c r="K555" t="s">
        <v>30</v>
      </c>
    </row>
    <row r="556" spans="1:11" x14ac:dyDescent="0.3">
      <c r="A556" t="s">
        <v>25</v>
      </c>
      <c r="B556" t="s">
        <v>187</v>
      </c>
      <c r="C556" t="str">
        <f t="shared" si="25"/>
        <v>IPL-2016</v>
      </c>
      <c r="D556">
        <f t="shared" si="26"/>
        <v>2016</v>
      </c>
      <c r="E556" s="1">
        <v>42498</v>
      </c>
      <c r="F556" t="s">
        <v>25</v>
      </c>
      <c r="G556" t="s">
        <v>12</v>
      </c>
      <c r="H556" t="str">
        <f t="shared" si="24"/>
        <v>LOSS</v>
      </c>
      <c r="I556" t="s">
        <v>187</v>
      </c>
      <c r="J556" t="s">
        <v>53</v>
      </c>
      <c r="K556" t="s">
        <v>168</v>
      </c>
    </row>
    <row r="557" spans="1:11" x14ac:dyDescent="0.3">
      <c r="A557" t="s">
        <v>16</v>
      </c>
      <c r="B557" t="s">
        <v>10</v>
      </c>
      <c r="C557" t="str">
        <f t="shared" si="25"/>
        <v>IPL-2016</v>
      </c>
      <c r="D557">
        <f t="shared" si="26"/>
        <v>2016</v>
      </c>
      <c r="E557" s="1">
        <v>42499</v>
      </c>
      <c r="F557" t="s">
        <v>16</v>
      </c>
      <c r="G557" t="s">
        <v>12</v>
      </c>
      <c r="H557" t="str">
        <f t="shared" si="24"/>
        <v>LOSS</v>
      </c>
      <c r="I557" t="s">
        <v>10</v>
      </c>
      <c r="J557" t="s">
        <v>31</v>
      </c>
      <c r="K557" t="s">
        <v>234</v>
      </c>
    </row>
    <row r="558" spans="1:11" x14ac:dyDescent="0.3">
      <c r="A558" t="s">
        <v>232</v>
      </c>
      <c r="B558" t="s">
        <v>187</v>
      </c>
      <c r="C558" t="str">
        <f t="shared" si="25"/>
        <v>IPL-2016</v>
      </c>
      <c r="D558">
        <f t="shared" si="26"/>
        <v>2016</v>
      </c>
      <c r="E558" s="1">
        <v>42500</v>
      </c>
      <c r="F558" t="s">
        <v>187</v>
      </c>
      <c r="G558" t="s">
        <v>18</v>
      </c>
      <c r="H558" t="str">
        <f t="shared" si="24"/>
        <v>WIN</v>
      </c>
      <c r="I558" t="s">
        <v>187</v>
      </c>
      <c r="J558" t="s">
        <v>244</v>
      </c>
      <c r="K558" t="s">
        <v>168</v>
      </c>
    </row>
    <row r="559" spans="1:11" x14ac:dyDescent="0.3">
      <c r="A559" t="s">
        <v>10</v>
      </c>
      <c r="B559" t="s">
        <v>25</v>
      </c>
      <c r="C559" t="str">
        <f t="shared" si="25"/>
        <v>IPL-2016</v>
      </c>
      <c r="D559">
        <f t="shared" si="26"/>
        <v>2016</v>
      </c>
      <c r="E559" s="1">
        <v>42501</v>
      </c>
      <c r="F559" t="s">
        <v>25</v>
      </c>
      <c r="G559" t="s">
        <v>12</v>
      </c>
      <c r="H559" t="str">
        <f t="shared" si="24"/>
        <v>WIN</v>
      </c>
      <c r="I559" t="s">
        <v>25</v>
      </c>
      <c r="J559" t="s">
        <v>245</v>
      </c>
      <c r="K559" t="s">
        <v>14</v>
      </c>
    </row>
    <row r="560" spans="1:11" x14ac:dyDescent="0.3">
      <c r="A560" t="s">
        <v>187</v>
      </c>
      <c r="B560" t="s">
        <v>21</v>
      </c>
      <c r="C560" t="str">
        <f t="shared" si="25"/>
        <v>IPL-2016</v>
      </c>
      <c r="D560">
        <f t="shared" si="26"/>
        <v>2016</v>
      </c>
      <c r="E560" s="1">
        <v>42502</v>
      </c>
      <c r="F560" t="s">
        <v>21</v>
      </c>
      <c r="G560" t="s">
        <v>12</v>
      </c>
      <c r="H560" t="str">
        <f t="shared" si="24"/>
        <v>WIN</v>
      </c>
      <c r="I560" t="s">
        <v>21</v>
      </c>
      <c r="J560" t="s">
        <v>240</v>
      </c>
      <c r="K560" t="s">
        <v>34</v>
      </c>
    </row>
    <row r="561" spans="1:11" x14ac:dyDescent="0.3">
      <c r="A561" t="s">
        <v>25</v>
      </c>
      <c r="B561" t="s">
        <v>16</v>
      </c>
      <c r="C561" t="str">
        <f t="shared" si="25"/>
        <v>IPL-2016</v>
      </c>
      <c r="D561">
        <f t="shared" si="26"/>
        <v>2016</v>
      </c>
      <c r="E561" s="1">
        <v>42503</v>
      </c>
      <c r="F561" t="s">
        <v>25</v>
      </c>
      <c r="G561" t="s">
        <v>18</v>
      </c>
      <c r="H561" t="str">
        <f t="shared" si="24"/>
        <v>LOSS</v>
      </c>
      <c r="I561" t="s">
        <v>16</v>
      </c>
      <c r="J561" t="s">
        <v>243</v>
      </c>
      <c r="K561" t="s">
        <v>168</v>
      </c>
    </row>
    <row r="562" spans="1:11" x14ac:dyDescent="0.3">
      <c r="A562" t="s">
        <v>10</v>
      </c>
      <c r="B562" t="s">
        <v>233</v>
      </c>
      <c r="C562" t="str">
        <f t="shared" si="25"/>
        <v>IPL-2016</v>
      </c>
      <c r="D562">
        <f t="shared" si="26"/>
        <v>2016</v>
      </c>
      <c r="E562" s="1">
        <v>42504</v>
      </c>
      <c r="F562" t="s">
        <v>233</v>
      </c>
      <c r="G562" t="s">
        <v>12</v>
      </c>
      <c r="H562" t="str">
        <f t="shared" si="24"/>
        <v>LOSS</v>
      </c>
      <c r="I562" t="s">
        <v>10</v>
      </c>
      <c r="J562" t="s">
        <v>79</v>
      </c>
      <c r="K562" t="s">
        <v>14</v>
      </c>
    </row>
    <row r="563" spans="1:11" x14ac:dyDescent="0.3">
      <c r="A563" t="s">
        <v>11</v>
      </c>
      <c r="B563" t="s">
        <v>232</v>
      </c>
      <c r="C563" t="str">
        <f t="shared" si="25"/>
        <v>IPL-2016</v>
      </c>
      <c r="D563">
        <f t="shared" si="26"/>
        <v>2016</v>
      </c>
      <c r="E563" s="1">
        <v>42504</v>
      </c>
      <c r="F563" t="s">
        <v>232</v>
      </c>
      <c r="G563" t="s">
        <v>18</v>
      </c>
      <c r="H563" t="str">
        <f t="shared" si="24"/>
        <v>LOSS</v>
      </c>
      <c r="I563" t="s">
        <v>11</v>
      </c>
      <c r="J563" t="s">
        <v>37</v>
      </c>
      <c r="K563" t="s">
        <v>30</v>
      </c>
    </row>
    <row r="564" spans="1:11" x14ac:dyDescent="0.3">
      <c r="A564" t="s">
        <v>16</v>
      </c>
      <c r="B564" t="s">
        <v>187</v>
      </c>
      <c r="C564" t="str">
        <f t="shared" si="25"/>
        <v>IPL-2016</v>
      </c>
      <c r="D564">
        <f t="shared" si="26"/>
        <v>2016</v>
      </c>
      <c r="E564" s="1">
        <v>42505</v>
      </c>
      <c r="F564" t="s">
        <v>16</v>
      </c>
      <c r="G564" t="s">
        <v>18</v>
      </c>
      <c r="H564" t="str">
        <f t="shared" si="24"/>
        <v>LOSS</v>
      </c>
      <c r="I564" t="s">
        <v>187</v>
      </c>
      <c r="J564" t="s">
        <v>246</v>
      </c>
      <c r="K564" t="s">
        <v>234</v>
      </c>
    </row>
    <row r="565" spans="1:11" x14ac:dyDescent="0.3">
      <c r="A565" t="s">
        <v>25</v>
      </c>
      <c r="B565" t="s">
        <v>21</v>
      </c>
      <c r="C565" t="str">
        <f t="shared" si="25"/>
        <v>IPL-2016</v>
      </c>
      <c r="D565">
        <f t="shared" si="26"/>
        <v>2016</v>
      </c>
      <c r="E565" s="1">
        <v>42505</v>
      </c>
      <c r="F565" t="s">
        <v>21</v>
      </c>
      <c r="G565" t="s">
        <v>12</v>
      </c>
      <c r="H565" t="str">
        <f t="shared" si="24"/>
        <v>LOSS</v>
      </c>
      <c r="I565" t="s">
        <v>25</v>
      </c>
      <c r="J565" t="s">
        <v>245</v>
      </c>
      <c r="K565" t="s">
        <v>168</v>
      </c>
    </row>
    <row r="566" spans="1:11" x14ac:dyDescent="0.3">
      <c r="A566" t="s">
        <v>11</v>
      </c>
      <c r="B566" t="s">
        <v>10</v>
      </c>
      <c r="C566" t="str">
        <f t="shared" si="25"/>
        <v>IPL-2016</v>
      </c>
      <c r="D566">
        <f t="shared" si="26"/>
        <v>2016</v>
      </c>
      <c r="E566" s="1">
        <v>42506</v>
      </c>
      <c r="F566" t="s">
        <v>10</v>
      </c>
      <c r="G566" t="s">
        <v>12</v>
      </c>
      <c r="H566" t="str">
        <f t="shared" si="24"/>
        <v>WIN</v>
      </c>
      <c r="I566" t="s">
        <v>10</v>
      </c>
      <c r="J566" t="s">
        <v>151</v>
      </c>
      <c r="K566" t="s">
        <v>30</v>
      </c>
    </row>
    <row r="567" spans="1:11" x14ac:dyDescent="0.3">
      <c r="A567" t="s">
        <v>232</v>
      </c>
      <c r="B567" t="s">
        <v>21</v>
      </c>
      <c r="C567" t="str">
        <f t="shared" si="25"/>
        <v>IPL-2016</v>
      </c>
      <c r="D567">
        <f t="shared" si="26"/>
        <v>2016</v>
      </c>
      <c r="E567" s="1">
        <v>42507</v>
      </c>
      <c r="F567" t="s">
        <v>232</v>
      </c>
      <c r="G567" t="s">
        <v>12</v>
      </c>
      <c r="H567" t="str">
        <f t="shared" si="24"/>
        <v>WIN</v>
      </c>
      <c r="I567" t="s">
        <v>232</v>
      </c>
      <c r="J567" t="s">
        <v>239</v>
      </c>
      <c r="K567" t="s">
        <v>168</v>
      </c>
    </row>
    <row r="568" spans="1:11" x14ac:dyDescent="0.3">
      <c r="A568" t="s">
        <v>10</v>
      </c>
      <c r="B568" t="s">
        <v>16</v>
      </c>
      <c r="C568" t="str">
        <f t="shared" si="25"/>
        <v>IPL-2016</v>
      </c>
      <c r="D568">
        <f t="shared" si="26"/>
        <v>2016</v>
      </c>
      <c r="E568" s="1">
        <v>42508</v>
      </c>
      <c r="F568" t="s">
        <v>16</v>
      </c>
      <c r="G568" t="s">
        <v>12</v>
      </c>
      <c r="H568" t="str">
        <f t="shared" si="24"/>
        <v>LOSS</v>
      </c>
      <c r="I568" t="s">
        <v>10</v>
      </c>
      <c r="J568" t="s">
        <v>151</v>
      </c>
      <c r="K568" t="s">
        <v>14</v>
      </c>
    </row>
    <row r="569" spans="1:11" x14ac:dyDescent="0.3">
      <c r="A569" t="s">
        <v>233</v>
      </c>
      <c r="B569" t="s">
        <v>11</v>
      </c>
      <c r="C569" t="str">
        <f t="shared" si="25"/>
        <v>IPL-2016</v>
      </c>
      <c r="D569">
        <f t="shared" si="26"/>
        <v>2016</v>
      </c>
      <c r="E569" s="1">
        <v>42509</v>
      </c>
      <c r="F569" t="s">
        <v>233</v>
      </c>
      <c r="G569" t="s">
        <v>12</v>
      </c>
      <c r="H569" t="str">
        <f t="shared" si="24"/>
        <v>WIN</v>
      </c>
      <c r="I569" t="s">
        <v>233</v>
      </c>
      <c r="J569" t="s">
        <v>97</v>
      </c>
      <c r="K569" t="s">
        <v>247</v>
      </c>
    </row>
    <row r="570" spans="1:11" x14ac:dyDescent="0.3">
      <c r="A570" t="s">
        <v>21</v>
      </c>
      <c r="B570" t="s">
        <v>187</v>
      </c>
      <c r="C570" t="str">
        <f t="shared" si="25"/>
        <v>IPL-2016</v>
      </c>
      <c r="D570">
        <f t="shared" si="26"/>
        <v>2016</v>
      </c>
      <c r="E570" s="1">
        <v>42510</v>
      </c>
      <c r="F570" t="s">
        <v>21</v>
      </c>
      <c r="G570" t="s">
        <v>12</v>
      </c>
      <c r="H570" t="str">
        <f t="shared" si="24"/>
        <v>WIN</v>
      </c>
      <c r="I570" t="s">
        <v>21</v>
      </c>
      <c r="J570" t="s">
        <v>215</v>
      </c>
      <c r="K570" t="s">
        <v>195</v>
      </c>
    </row>
    <row r="571" spans="1:11" x14ac:dyDescent="0.3">
      <c r="A571" t="s">
        <v>232</v>
      </c>
      <c r="B571" t="s">
        <v>16</v>
      </c>
      <c r="C571" t="str">
        <f t="shared" si="25"/>
        <v>IPL-2016</v>
      </c>
      <c r="D571">
        <f t="shared" si="26"/>
        <v>2016</v>
      </c>
      <c r="E571" s="1">
        <v>42511</v>
      </c>
      <c r="F571" t="s">
        <v>16</v>
      </c>
      <c r="G571" t="s">
        <v>18</v>
      </c>
      <c r="H571" t="str">
        <f t="shared" si="24"/>
        <v>LOSS</v>
      </c>
      <c r="I571" t="s">
        <v>232</v>
      </c>
      <c r="J571" t="s">
        <v>43</v>
      </c>
      <c r="K571" t="s">
        <v>168</v>
      </c>
    </row>
    <row r="572" spans="1:11" x14ac:dyDescent="0.3">
      <c r="A572" t="s">
        <v>233</v>
      </c>
      <c r="B572" t="s">
        <v>25</v>
      </c>
      <c r="C572" t="str">
        <f t="shared" si="25"/>
        <v>IPL-2016</v>
      </c>
      <c r="D572">
        <f t="shared" si="26"/>
        <v>2016</v>
      </c>
      <c r="E572" s="1">
        <v>42511</v>
      </c>
      <c r="F572" t="s">
        <v>233</v>
      </c>
      <c r="G572" t="s">
        <v>12</v>
      </c>
      <c r="H572" t="str">
        <f t="shared" si="24"/>
        <v>WIN</v>
      </c>
      <c r="I572" t="s">
        <v>233</v>
      </c>
      <c r="J572" t="s">
        <v>68</v>
      </c>
      <c r="K572" t="s">
        <v>247</v>
      </c>
    </row>
    <row r="573" spans="1:11" x14ac:dyDescent="0.3">
      <c r="A573" t="s">
        <v>11</v>
      </c>
      <c r="B573" t="s">
        <v>187</v>
      </c>
      <c r="C573" t="str">
        <f t="shared" si="25"/>
        <v>IPL-2016</v>
      </c>
      <c r="D573">
        <f t="shared" si="26"/>
        <v>2016</v>
      </c>
      <c r="E573" s="1">
        <v>42512</v>
      </c>
      <c r="F573" t="s">
        <v>187</v>
      </c>
      <c r="G573" t="s">
        <v>12</v>
      </c>
      <c r="H573" t="str">
        <f t="shared" si="24"/>
        <v>LOSS</v>
      </c>
      <c r="I573" t="s">
        <v>11</v>
      </c>
      <c r="J573" t="s">
        <v>37</v>
      </c>
      <c r="K573" t="s">
        <v>30</v>
      </c>
    </row>
    <row r="574" spans="1:11" x14ac:dyDescent="0.3">
      <c r="A574" t="s">
        <v>21</v>
      </c>
      <c r="B574" t="s">
        <v>10</v>
      </c>
      <c r="C574" t="str">
        <f t="shared" si="25"/>
        <v>IPL-2016</v>
      </c>
      <c r="D574">
        <f t="shared" si="26"/>
        <v>2016</v>
      </c>
      <c r="E574" s="1">
        <v>42512</v>
      </c>
      <c r="F574" t="s">
        <v>10</v>
      </c>
      <c r="G574" t="s">
        <v>12</v>
      </c>
      <c r="H574" t="str">
        <f t="shared" si="24"/>
        <v>WIN</v>
      </c>
      <c r="I574" t="s">
        <v>10</v>
      </c>
      <c r="J574" t="s">
        <v>151</v>
      </c>
      <c r="K574" t="s">
        <v>195</v>
      </c>
    </row>
    <row r="575" spans="1:11" x14ac:dyDescent="0.3">
      <c r="A575" t="s">
        <v>233</v>
      </c>
      <c r="B575" t="s">
        <v>10</v>
      </c>
      <c r="C575" t="str">
        <f t="shared" si="25"/>
        <v>IPL-2016</v>
      </c>
      <c r="D575">
        <f t="shared" si="26"/>
        <v>2016</v>
      </c>
      <c r="E575" s="1">
        <v>42514</v>
      </c>
      <c r="F575" t="s">
        <v>10</v>
      </c>
      <c r="G575" t="s">
        <v>12</v>
      </c>
      <c r="H575" t="str">
        <f t="shared" si="24"/>
        <v>WIN</v>
      </c>
      <c r="I575" t="s">
        <v>10</v>
      </c>
      <c r="J575" t="s">
        <v>79</v>
      </c>
      <c r="K575" t="s">
        <v>14</v>
      </c>
    </row>
    <row r="576" spans="1:11" x14ac:dyDescent="0.3">
      <c r="A576" t="s">
        <v>187</v>
      </c>
      <c r="B576" t="s">
        <v>11</v>
      </c>
      <c r="C576" t="str">
        <f t="shared" si="25"/>
        <v>IPL-2016</v>
      </c>
      <c r="D576">
        <f t="shared" si="26"/>
        <v>2016</v>
      </c>
      <c r="E576" s="1">
        <v>42515</v>
      </c>
      <c r="F576" t="s">
        <v>11</v>
      </c>
      <c r="G576" t="s">
        <v>12</v>
      </c>
      <c r="H576" t="str">
        <f t="shared" si="24"/>
        <v>LOSS</v>
      </c>
      <c r="I576" t="s">
        <v>187</v>
      </c>
      <c r="J576" t="s">
        <v>229</v>
      </c>
      <c r="K576" t="s">
        <v>24</v>
      </c>
    </row>
    <row r="577" spans="1:11" x14ac:dyDescent="0.3">
      <c r="A577" t="s">
        <v>233</v>
      </c>
      <c r="B577" t="s">
        <v>187</v>
      </c>
      <c r="C577" t="str">
        <f t="shared" si="25"/>
        <v>IPL-2016</v>
      </c>
      <c r="D577">
        <f t="shared" si="26"/>
        <v>2016</v>
      </c>
      <c r="E577" s="1">
        <v>42517</v>
      </c>
      <c r="F577" t="s">
        <v>187</v>
      </c>
      <c r="G577" t="s">
        <v>12</v>
      </c>
      <c r="H577" t="str">
        <f t="shared" si="24"/>
        <v>WIN</v>
      </c>
      <c r="I577" t="s">
        <v>187</v>
      </c>
      <c r="J577" t="s">
        <v>121</v>
      </c>
      <c r="K577" t="s">
        <v>24</v>
      </c>
    </row>
    <row r="578" spans="1:11" x14ac:dyDescent="0.3">
      <c r="A578" t="s">
        <v>10</v>
      </c>
      <c r="B578" t="s">
        <v>187</v>
      </c>
      <c r="C578" t="str">
        <f t="shared" si="25"/>
        <v>IPL-2016</v>
      </c>
      <c r="D578">
        <f t="shared" si="26"/>
        <v>2016</v>
      </c>
      <c r="E578" s="1">
        <v>42519</v>
      </c>
      <c r="F578" t="s">
        <v>187</v>
      </c>
      <c r="G578" t="s">
        <v>18</v>
      </c>
      <c r="H578" t="str">
        <f t="shared" ref="H578:H641" si="27">IF(F578=I578,"WIN","LOSS")</f>
        <v>WIN</v>
      </c>
      <c r="I578" t="s">
        <v>187</v>
      </c>
      <c r="J578" t="s">
        <v>248</v>
      </c>
      <c r="K578" t="s">
        <v>14</v>
      </c>
    </row>
    <row r="579" spans="1:11" x14ac:dyDescent="0.3">
      <c r="A579" t="s">
        <v>187</v>
      </c>
      <c r="B579" t="s">
        <v>10</v>
      </c>
      <c r="C579" t="str">
        <f t="shared" ref="C579:C642" si="28">_xlfn.CONCAT("IPL-",D579)</f>
        <v>IPL-2017</v>
      </c>
      <c r="D579">
        <f t="shared" ref="D579:D642" si="29">YEAR(E579)</f>
        <v>2017</v>
      </c>
      <c r="E579" s="1">
        <v>42830</v>
      </c>
      <c r="F579" t="s">
        <v>10</v>
      </c>
      <c r="G579" t="s">
        <v>12</v>
      </c>
      <c r="H579" t="str">
        <f t="shared" si="27"/>
        <v>LOSS</v>
      </c>
      <c r="I579" t="s">
        <v>187</v>
      </c>
      <c r="J579" t="s">
        <v>88</v>
      </c>
      <c r="K579" t="s">
        <v>34</v>
      </c>
    </row>
    <row r="580" spans="1:11" x14ac:dyDescent="0.3">
      <c r="A580" t="s">
        <v>249</v>
      </c>
      <c r="B580" t="s">
        <v>25</v>
      </c>
      <c r="C580" t="str">
        <f t="shared" si="28"/>
        <v>IPL-2017</v>
      </c>
      <c r="D580">
        <f t="shared" si="29"/>
        <v>2017</v>
      </c>
      <c r="E580" s="1">
        <v>42831</v>
      </c>
      <c r="F580" t="s">
        <v>249</v>
      </c>
      <c r="G580" t="s">
        <v>12</v>
      </c>
      <c r="H580" t="str">
        <f t="shared" si="27"/>
        <v>WIN</v>
      </c>
      <c r="I580" t="s">
        <v>249</v>
      </c>
      <c r="J580" t="s">
        <v>165</v>
      </c>
      <c r="K580" t="s">
        <v>193</v>
      </c>
    </row>
    <row r="581" spans="1:11" x14ac:dyDescent="0.3">
      <c r="A581" t="s">
        <v>233</v>
      </c>
      <c r="B581" t="s">
        <v>11</v>
      </c>
      <c r="C581" t="str">
        <f t="shared" si="28"/>
        <v>IPL-2017</v>
      </c>
      <c r="D581">
        <f t="shared" si="29"/>
        <v>2017</v>
      </c>
      <c r="E581" s="1">
        <v>42832</v>
      </c>
      <c r="F581" t="s">
        <v>11</v>
      </c>
      <c r="G581" t="s">
        <v>12</v>
      </c>
      <c r="H581" t="str">
        <f t="shared" si="27"/>
        <v>WIN</v>
      </c>
      <c r="I581" t="s">
        <v>11</v>
      </c>
      <c r="J581" t="s">
        <v>209</v>
      </c>
      <c r="K581" t="s">
        <v>235</v>
      </c>
    </row>
    <row r="582" spans="1:11" x14ac:dyDescent="0.3">
      <c r="A582" t="s">
        <v>10</v>
      </c>
      <c r="B582" t="s">
        <v>21</v>
      </c>
      <c r="C582" t="str">
        <f t="shared" si="28"/>
        <v>IPL-2017</v>
      </c>
      <c r="D582">
        <f t="shared" si="29"/>
        <v>2017</v>
      </c>
      <c r="E582" s="1">
        <v>42833</v>
      </c>
      <c r="F582" t="s">
        <v>10</v>
      </c>
      <c r="G582" t="s">
        <v>18</v>
      </c>
      <c r="H582" t="str">
        <f t="shared" si="27"/>
        <v>WIN</v>
      </c>
      <c r="I582" t="s">
        <v>10</v>
      </c>
      <c r="J582" t="s">
        <v>119</v>
      </c>
      <c r="K582" t="s">
        <v>250</v>
      </c>
    </row>
    <row r="583" spans="1:11" x14ac:dyDescent="0.3">
      <c r="A583" t="s">
        <v>16</v>
      </c>
      <c r="B583" t="s">
        <v>249</v>
      </c>
      <c r="C583" t="str">
        <f t="shared" si="28"/>
        <v>IPL-2017</v>
      </c>
      <c r="D583">
        <f t="shared" si="29"/>
        <v>2017</v>
      </c>
      <c r="E583" s="1">
        <v>42833</v>
      </c>
      <c r="F583" t="s">
        <v>16</v>
      </c>
      <c r="G583" t="s">
        <v>12</v>
      </c>
      <c r="H583" t="str">
        <f t="shared" si="27"/>
        <v>WIN</v>
      </c>
      <c r="I583" t="s">
        <v>16</v>
      </c>
      <c r="J583" t="s">
        <v>207</v>
      </c>
      <c r="K583" t="s">
        <v>160</v>
      </c>
    </row>
    <row r="584" spans="1:11" x14ac:dyDescent="0.3">
      <c r="A584" t="s">
        <v>187</v>
      </c>
      <c r="B584" t="s">
        <v>233</v>
      </c>
      <c r="C584" t="str">
        <f t="shared" si="28"/>
        <v>IPL-2017</v>
      </c>
      <c r="D584">
        <f t="shared" si="29"/>
        <v>2017</v>
      </c>
      <c r="E584" s="1">
        <v>42834</v>
      </c>
      <c r="F584" t="s">
        <v>187</v>
      </c>
      <c r="G584" t="s">
        <v>12</v>
      </c>
      <c r="H584" t="str">
        <f t="shared" si="27"/>
        <v>WIN</v>
      </c>
      <c r="I584" t="s">
        <v>187</v>
      </c>
      <c r="J584" t="s">
        <v>251</v>
      </c>
      <c r="K584" t="s">
        <v>34</v>
      </c>
    </row>
    <row r="585" spans="1:11" x14ac:dyDescent="0.3">
      <c r="A585" t="s">
        <v>25</v>
      </c>
      <c r="B585" t="s">
        <v>11</v>
      </c>
      <c r="C585" t="str">
        <f t="shared" si="28"/>
        <v>IPL-2017</v>
      </c>
      <c r="D585">
        <f t="shared" si="29"/>
        <v>2017</v>
      </c>
      <c r="E585" s="1">
        <v>42834</v>
      </c>
      <c r="F585" t="s">
        <v>25</v>
      </c>
      <c r="G585" t="s">
        <v>12</v>
      </c>
      <c r="H585" t="str">
        <f t="shared" si="27"/>
        <v>WIN</v>
      </c>
      <c r="I585" t="s">
        <v>25</v>
      </c>
      <c r="J585" t="s">
        <v>252</v>
      </c>
      <c r="K585" t="s">
        <v>27</v>
      </c>
    </row>
    <row r="586" spans="1:11" x14ac:dyDescent="0.3">
      <c r="A586" t="s">
        <v>16</v>
      </c>
      <c r="B586" t="s">
        <v>10</v>
      </c>
      <c r="C586" t="str">
        <f t="shared" si="28"/>
        <v>IPL-2017</v>
      </c>
      <c r="D586">
        <f t="shared" si="29"/>
        <v>2017</v>
      </c>
      <c r="E586" s="1">
        <v>42835</v>
      </c>
      <c r="F586" t="s">
        <v>10</v>
      </c>
      <c r="G586" t="s">
        <v>18</v>
      </c>
      <c r="H586" t="str">
        <f t="shared" si="27"/>
        <v>LOSS</v>
      </c>
      <c r="I586" t="s">
        <v>16</v>
      </c>
      <c r="J586" t="s">
        <v>216</v>
      </c>
      <c r="K586" t="s">
        <v>160</v>
      </c>
    </row>
    <row r="587" spans="1:11" x14ac:dyDescent="0.3">
      <c r="A587" t="s">
        <v>249</v>
      </c>
      <c r="B587" t="s">
        <v>21</v>
      </c>
      <c r="C587" t="str">
        <f t="shared" si="28"/>
        <v>IPL-2017</v>
      </c>
      <c r="D587">
        <f t="shared" si="29"/>
        <v>2017</v>
      </c>
      <c r="E587" s="1">
        <v>42836</v>
      </c>
      <c r="F587" t="s">
        <v>249</v>
      </c>
      <c r="G587" t="s">
        <v>12</v>
      </c>
      <c r="H587" t="str">
        <f t="shared" si="27"/>
        <v>LOSS</v>
      </c>
      <c r="I587" t="s">
        <v>21</v>
      </c>
      <c r="J587" t="s">
        <v>196</v>
      </c>
      <c r="K587" t="s">
        <v>193</v>
      </c>
    </row>
    <row r="588" spans="1:11" x14ac:dyDescent="0.3">
      <c r="A588" t="s">
        <v>25</v>
      </c>
      <c r="B588" t="s">
        <v>187</v>
      </c>
      <c r="C588" t="str">
        <f t="shared" si="28"/>
        <v>IPL-2017</v>
      </c>
      <c r="D588">
        <f t="shared" si="29"/>
        <v>2017</v>
      </c>
      <c r="E588" s="1">
        <v>42837</v>
      </c>
      <c r="F588" t="s">
        <v>25</v>
      </c>
      <c r="G588" t="s">
        <v>12</v>
      </c>
      <c r="H588" t="str">
        <f t="shared" si="27"/>
        <v>WIN</v>
      </c>
      <c r="I588" t="s">
        <v>25</v>
      </c>
      <c r="J588" t="s">
        <v>253</v>
      </c>
      <c r="K588" t="s">
        <v>27</v>
      </c>
    </row>
    <row r="589" spans="1:11" x14ac:dyDescent="0.3">
      <c r="A589" t="s">
        <v>11</v>
      </c>
      <c r="B589" t="s">
        <v>16</v>
      </c>
      <c r="C589" t="str">
        <f t="shared" si="28"/>
        <v>IPL-2017</v>
      </c>
      <c r="D589">
        <f t="shared" si="29"/>
        <v>2017</v>
      </c>
      <c r="E589" s="1">
        <v>42838</v>
      </c>
      <c r="F589" t="s">
        <v>11</v>
      </c>
      <c r="G589" t="s">
        <v>12</v>
      </c>
      <c r="H589" t="str">
        <f t="shared" si="27"/>
        <v>WIN</v>
      </c>
      <c r="I589" t="s">
        <v>11</v>
      </c>
      <c r="J589" t="s">
        <v>176</v>
      </c>
      <c r="K589" t="s">
        <v>30</v>
      </c>
    </row>
    <row r="590" spans="1:11" x14ac:dyDescent="0.3">
      <c r="A590" t="s">
        <v>10</v>
      </c>
      <c r="B590" t="s">
        <v>25</v>
      </c>
      <c r="C590" t="str">
        <f t="shared" si="28"/>
        <v>IPL-2017</v>
      </c>
      <c r="D590">
        <f t="shared" si="29"/>
        <v>2017</v>
      </c>
      <c r="E590" s="1">
        <v>42839</v>
      </c>
      <c r="F590" t="s">
        <v>25</v>
      </c>
      <c r="G590" t="s">
        <v>12</v>
      </c>
      <c r="H590" t="str">
        <f t="shared" si="27"/>
        <v>WIN</v>
      </c>
      <c r="I590" t="s">
        <v>25</v>
      </c>
      <c r="J590" t="s">
        <v>134</v>
      </c>
      <c r="K590" t="s">
        <v>14</v>
      </c>
    </row>
    <row r="591" spans="1:11" x14ac:dyDescent="0.3">
      <c r="A591" t="s">
        <v>233</v>
      </c>
      <c r="B591" t="s">
        <v>249</v>
      </c>
      <c r="C591" t="str">
        <f t="shared" si="28"/>
        <v>IPL-2017</v>
      </c>
      <c r="D591">
        <f t="shared" si="29"/>
        <v>2017</v>
      </c>
      <c r="E591" s="1">
        <v>42839</v>
      </c>
      <c r="F591" t="s">
        <v>233</v>
      </c>
      <c r="G591" t="s">
        <v>12</v>
      </c>
      <c r="H591" t="str">
        <f t="shared" si="27"/>
        <v>WIN</v>
      </c>
      <c r="I591" t="s">
        <v>233</v>
      </c>
      <c r="J591" t="s">
        <v>254</v>
      </c>
      <c r="K591" t="s">
        <v>235</v>
      </c>
    </row>
    <row r="592" spans="1:11" x14ac:dyDescent="0.3">
      <c r="A592" t="s">
        <v>21</v>
      </c>
      <c r="B592" t="s">
        <v>16</v>
      </c>
      <c r="C592" t="str">
        <f t="shared" si="28"/>
        <v>IPL-2017</v>
      </c>
      <c r="D592">
        <f t="shared" si="29"/>
        <v>2017</v>
      </c>
      <c r="E592" s="1">
        <v>42840</v>
      </c>
      <c r="F592" t="s">
        <v>21</v>
      </c>
      <c r="G592" t="s">
        <v>18</v>
      </c>
      <c r="H592" t="str">
        <f t="shared" si="27"/>
        <v>WIN</v>
      </c>
      <c r="I592" t="s">
        <v>21</v>
      </c>
      <c r="J592" t="s">
        <v>214</v>
      </c>
      <c r="K592" t="s">
        <v>24</v>
      </c>
    </row>
    <row r="593" spans="1:11" x14ac:dyDescent="0.3">
      <c r="A593" t="s">
        <v>11</v>
      </c>
      <c r="B593" t="s">
        <v>187</v>
      </c>
      <c r="C593" t="str">
        <f t="shared" si="28"/>
        <v>IPL-2017</v>
      </c>
      <c r="D593">
        <f t="shared" si="29"/>
        <v>2017</v>
      </c>
      <c r="E593" s="1">
        <v>42840</v>
      </c>
      <c r="F593" t="s">
        <v>187</v>
      </c>
      <c r="G593" t="s">
        <v>12</v>
      </c>
      <c r="H593" t="str">
        <f t="shared" si="27"/>
        <v>LOSS</v>
      </c>
      <c r="I593" t="s">
        <v>11</v>
      </c>
      <c r="J593" t="s">
        <v>116</v>
      </c>
      <c r="K593" t="s">
        <v>30</v>
      </c>
    </row>
    <row r="594" spans="1:11" x14ac:dyDescent="0.3">
      <c r="A594" t="s">
        <v>10</v>
      </c>
      <c r="B594" t="s">
        <v>249</v>
      </c>
      <c r="C594" t="str">
        <f t="shared" si="28"/>
        <v>IPL-2017</v>
      </c>
      <c r="D594">
        <f t="shared" si="29"/>
        <v>2017</v>
      </c>
      <c r="E594" s="1">
        <v>42841</v>
      </c>
      <c r="F594" t="s">
        <v>10</v>
      </c>
      <c r="G594" t="s">
        <v>12</v>
      </c>
      <c r="H594" t="str">
        <f t="shared" si="27"/>
        <v>LOSS</v>
      </c>
      <c r="I594" t="s">
        <v>249</v>
      </c>
      <c r="J594" t="s">
        <v>255</v>
      </c>
      <c r="K594" t="s">
        <v>14</v>
      </c>
    </row>
    <row r="595" spans="1:11" x14ac:dyDescent="0.3">
      <c r="A595" t="s">
        <v>25</v>
      </c>
      <c r="B595" t="s">
        <v>233</v>
      </c>
      <c r="C595" t="str">
        <f t="shared" si="28"/>
        <v>IPL-2017</v>
      </c>
      <c r="D595">
        <f t="shared" si="29"/>
        <v>2017</v>
      </c>
      <c r="E595" s="1">
        <v>42841</v>
      </c>
      <c r="F595" t="s">
        <v>25</v>
      </c>
      <c r="G595" t="s">
        <v>12</v>
      </c>
      <c r="H595" t="str">
        <f t="shared" si="27"/>
        <v>WIN</v>
      </c>
      <c r="I595" t="s">
        <v>25</v>
      </c>
      <c r="J595" t="s">
        <v>252</v>
      </c>
      <c r="K595" t="s">
        <v>27</v>
      </c>
    </row>
    <row r="596" spans="1:11" x14ac:dyDescent="0.3">
      <c r="A596" t="s">
        <v>21</v>
      </c>
      <c r="B596" t="s">
        <v>11</v>
      </c>
      <c r="C596" t="str">
        <f t="shared" si="28"/>
        <v>IPL-2017</v>
      </c>
      <c r="D596">
        <f t="shared" si="29"/>
        <v>2017</v>
      </c>
      <c r="E596" s="1">
        <v>42842</v>
      </c>
      <c r="F596" t="s">
        <v>21</v>
      </c>
      <c r="G596" t="s">
        <v>18</v>
      </c>
      <c r="H596" t="str">
        <f t="shared" si="27"/>
        <v>LOSS</v>
      </c>
      <c r="I596" t="s">
        <v>11</v>
      </c>
      <c r="J596" t="s">
        <v>226</v>
      </c>
      <c r="K596" t="s">
        <v>24</v>
      </c>
    </row>
    <row r="597" spans="1:11" x14ac:dyDescent="0.3">
      <c r="A597" t="s">
        <v>187</v>
      </c>
      <c r="B597" t="s">
        <v>16</v>
      </c>
      <c r="C597" t="str">
        <f t="shared" si="28"/>
        <v>IPL-2017</v>
      </c>
      <c r="D597">
        <f t="shared" si="29"/>
        <v>2017</v>
      </c>
      <c r="E597" s="1">
        <v>42842</v>
      </c>
      <c r="F597" t="s">
        <v>16</v>
      </c>
      <c r="G597" t="s">
        <v>12</v>
      </c>
      <c r="H597" t="str">
        <f t="shared" si="27"/>
        <v>LOSS</v>
      </c>
      <c r="I597" t="s">
        <v>187</v>
      </c>
      <c r="J597" t="s">
        <v>213</v>
      </c>
      <c r="K597" t="s">
        <v>34</v>
      </c>
    </row>
    <row r="598" spans="1:11" x14ac:dyDescent="0.3">
      <c r="A598" t="s">
        <v>233</v>
      </c>
      <c r="B598" t="s">
        <v>10</v>
      </c>
      <c r="C598" t="str">
        <f t="shared" si="28"/>
        <v>IPL-2017</v>
      </c>
      <c r="D598">
        <f t="shared" si="29"/>
        <v>2017</v>
      </c>
      <c r="E598" s="1">
        <v>42843</v>
      </c>
      <c r="F598" t="s">
        <v>233</v>
      </c>
      <c r="G598" t="s">
        <v>12</v>
      </c>
      <c r="H598" t="str">
        <f t="shared" si="27"/>
        <v>LOSS</v>
      </c>
      <c r="I598" t="s">
        <v>10</v>
      </c>
      <c r="J598" t="s">
        <v>77</v>
      </c>
      <c r="K598" t="s">
        <v>235</v>
      </c>
    </row>
    <row r="599" spans="1:11" x14ac:dyDescent="0.3">
      <c r="A599" t="s">
        <v>187</v>
      </c>
      <c r="B599" t="s">
        <v>21</v>
      </c>
      <c r="C599" t="str">
        <f t="shared" si="28"/>
        <v>IPL-2017</v>
      </c>
      <c r="D599">
        <f t="shared" si="29"/>
        <v>2017</v>
      </c>
      <c r="E599" s="1">
        <v>42844</v>
      </c>
      <c r="F599" t="s">
        <v>187</v>
      </c>
      <c r="G599" t="s">
        <v>18</v>
      </c>
      <c r="H599" t="str">
        <f t="shared" si="27"/>
        <v>WIN</v>
      </c>
      <c r="I599" t="s">
        <v>187</v>
      </c>
      <c r="J599" t="s">
        <v>256</v>
      </c>
      <c r="K599" t="s">
        <v>34</v>
      </c>
    </row>
    <row r="600" spans="1:11" x14ac:dyDescent="0.3">
      <c r="A600" t="s">
        <v>16</v>
      </c>
      <c r="B600" t="s">
        <v>25</v>
      </c>
      <c r="C600" t="str">
        <f t="shared" si="28"/>
        <v>IPL-2017</v>
      </c>
      <c r="D600">
        <f t="shared" si="29"/>
        <v>2017</v>
      </c>
      <c r="E600" s="1">
        <v>42845</v>
      </c>
      <c r="F600" t="s">
        <v>25</v>
      </c>
      <c r="G600" t="s">
        <v>12</v>
      </c>
      <c r="H600" t="str">
        <f t="shared" si="27"/>
        <v>WIN</v>
      </c>
      <c r="I600" t="s">
        <v>25</v>
      </c>
      <c r="J600" t="s">
        <v>257</v>
      </c>
      <c r="K600" t="s">
        <v>160</v>
      </c>
    </row>
    <row r="601" spans="1:11" x14ac:dyDescent="0.3">
      <c r="A601" t="s">
        <v>11</v>
      </c>
      <c r="B601" t="s">
        <v>233</v>
      </c>
      <c r="C601" t="str">
        <f t="shared" si="28"/>
        <v>IPL-2017</v>
      </c>
      <c r="D601">
        <f t="shared" si="29"/>
        <v>2017</v>
      </c>
      <c r="E601" s="1">
        <v>42846</v>
      </c>
      <c r="F601" t="s">
        <v>233</v>
      </c>
      <c r="G601" t="s">
        <v>12</v>
      </c>
      <c r="H601" t="str">
        <f t="shared" si="27"/>
        <v>WIN</v>
      </c>
      <c r="I601" t="s">
        <v>233</v>
      </c>
      <c r="J601" t="s">
        <v>68</v>
      </c>
      <c r="K601" t="s">
        <v>30</v>
      </c>
    </row>
    <row r="602" spans="1:11" x14ac:dyDescent="0.3">
      <c r="A602" t="s">
        <v>249</v>
      </c>
      <c r="B602" t="s">
        <v>187</v>
      </c>
      <c r="C602" t="str">
        <f t="shared" si="28"/>
        <v>IPL-2017</v>
      </c>
      <c r="D602">
        <f t="shared" si="29"/>
        <v>2017</v>
      </c>
      <c r="E602" s="1">
        <v>42847</v>
      </c>
      <c r="F602" t="s">
        <v>249</v>
      </c>
      <c r="G602" t="s">
        <v>12</v>
      </c>
      <c r="H602" t="str">
        <f t="shared" si="27"/>
        <v>WIN</v>
      </c>
      <c r="I602" t="s">
        <v>249</v>
      </c>
      <c r="J602" t="s">
        <v>43</v>
      </c>
      <c r="K602" t="s">
        <v>193</v>
      </c>
    </row>
    <row r="603" spans="1:11" x14ac:dyDescent="0.3">
      <c r="A603" t="s">
        <v>25</v>
      </c>
      <c r="B603" t="s">
        <v>21</v>
      </c>
      <c r="C603" t="str">
        <f t="shared" si="28"/>
        <v>IPL-2017</v>
      </c>
      <c r="D603">
        <f t="shared" si="29"/>
        <v>2017</v>
      </c>
      <c r="E603" s="1">
        <v>42847</v>
      </c>
      <c r="F603" t="s">
        <v>21</v>
      </c>
      <c r="G603" t="s">
        <v>12</v>
      </c>
      <c r="H603" t="str">
        <f t="shared" si="27"/>
        <v>LOSS</v>
      </c>
      <c r="I603" t="s">
        <v>25</v>
      </c>
      <c r="J603" t="s">
        <v>231</v>
      </c>
      <c r="K603" t="s">
        <v>27</v>
      </c>
    </row>
    <row r="604" spans="1:11" x14ac:dyDescent="0.3">
      <c r="A604" t="s">
        <v>11</v>
      </c>
      <c r="B604" t="s">
        <v>10</v>
      </c>
      <c r="C604" t="str">
        <f t="shared" si="28"/>
        <v>IPL-2017</v>
      </c>
      <c r="D604">
        <f t="shared" si="29"/>
        <v>2017</v>
      </c>
      <c r="E604" s="1">
        <v>42848</v>
      </c>
      <c r="F604" t="s">
        <v>10</v>
      </c>
      <c r="G604" t="s">
        <v>12</v>
      </c>
      <c r="H604" t="str">
        <f t="shared" si="27"/>
        <v>LOSS</v>
      </c>
      <c r="I604" t="s">
        <v>11</v>
      </c>
      <c r="J604" t="s">
        <v>226</v>
      </c>
      <c r="K604" t="s">
        <v>30</v>
      </c>
    </row>
    <row r="605" spans="1:11" x14ac:dyDescent="0.3">
      <c r="A605" t="s">
        <v>233</v>
      </c>
      <c r="B605" t="s">
        <v>16</v>
      </c>
      <c r="C605" t="str">
        <f t="shared" si="28"/>
        <v>IPL-2017</v>
      </c>
      <c r="D605">
        <f t="shared" si="29"/>
        <v>2017</v>
      </c>
      <c r="E605" s="1">
        <v>42848</v>
      </c>
      <c r="F605" t="s">
        <v>233</v>
      </c>
      <c r="G605" t="s">
        <v>12</v>
      </c>
      <c r="H605" t="str">
        <f t="shared" si="27"/>
        <v>LOSS</v>
      </c>
      <c r="I605" t="s">
        <v>16</v>
      </c>
      <c r="J605" t="s">
        <v>246</v>
      </c>
      <c r="K605" t="s">
        <v>235</v>
      </c>
    </row>
    <row r="606" spans="1:11" x14ac:dyDescent="0.3">
      <c r="A606" t="s">
        <v>25</v>
      </c>
      <c r="B606" t="s">
        <v>249</v>
      </c>
      <c r="C606" t="str">
        <f t="shared" si="28"/>
        <v>IPL-2017</v>
      </c>
      <c r="D606">
        <f t="shared" si="29"/>
        <v>2017</v>
      </c>
      <c r="E606" s="1">
        <v>42849</v>
      </c>
      <c r="F606" t="s">
        <v>25</v>
      </c>
      <c r="G606" t="s">
        <v>12</v>
      </c>
      <c r="H606" t="str">
        <f t="shared" si="27"/>
        <v>LOSS</v>
      </c>
      <c r="I606" t="s">
        <v>249</v>
      </c>
      <c r="J606" t="s">
        <v>255</v>
      </c>
      <c r="K606" t="s">
        <v>27</v>
      </c>
    </row>
    <row r="607" spans="1:11" x14ac:dyDescent="0.3">
      <c r="A607" t="s">
        <v>249</v>
      </c>
      <c r="B607" t="s">
        <v>11</v>
      </c>
      <c r="C607" t="str">
        <f t="shared" si="28"/>
        <v>IPL-2017</v>
      </c>
      <c r="D607">
        <f t="shared" si="29"/>
        <v>2017</v>
      </c>
      <c r="E607" s="1">
        <v>42851</v>
      </c>
      <c r="F607" t="s">
        <v>11</v>
      </c>
      <c r="G607" t="s">
        <v>12</v>
      </c>
      <c r="H607" t="str">
        <f t="shared" si="27"/>
        <v>WIN</v>
      </c>
      <c r="I607" t="s">
        <v>11</v>
      </c>
      <c r="J607" t="s">
        <v>116</v>
      </c>
      <c r="K607" t="s">
        <v>193</v>
      </c>
    </row>
    <row r="608" spans="1:11" x14ac:dyDescent="0.3">
      <c r="A608" t="s">
        <v>10</v>
      </c>
      <c r="B608" t="s">
        <v>233</v>
      </c>
      <c r="C608" t="str">
        <f t="shared" si="28"/>
        <v>IPL-2017</v>
      </c>
      <c r="D608">
        <f t="shared" si="29"/>
        <v>2017</v>
      </c>
      <c r="E608" s="1">
        <v>42852</v>
      </c>
      <c r="F608" t="s">
        <v>233</v>
      </c>
      <c r="G608" t="s">
        <v>12</v>
      </c>
      <c r="H608" t="str">
        <f t="shared" si="27"/>
        <v>WIN</v>
      </c>
      <c r="I608" t="s">
        <v>233</v>
      </c>
      <c r="J608" t="s">
        <v>254</v>
      </c>
      <c r="K608" t="s">
        <v>14</v>
      </c>
    </row>
    <row r="609" spans="1:11" x14ac:dyDescent="0.3">
      <c r="A609" t="s">
        <v>16</v>
      </c>
      <c r="B609" t="s">
        <v>187</v>
      </c>
      <c r="C609" t="str">
        <f t="shared" si="28"/>
        <v>IPL-2017</v>
      </c>
      <c r="D609">
        <f t="shared" si="29"/>
        <v>2017</v>
      </c>
      <c r="E609" s="1">
        <v>42853</v>
      </c>
      <c r="F609" t="s">
        <v>16</v>
      </c>
      <c r="G609" t="s">
        <v>12</v>
      </c>
      <c r="H609" t="str">
        <f t="shared" si="27"/>
        <v>LOSS</v>
      </c>
      <c r="I609" t="s">
        <v>187</v>
      </c>
      <c r="J609" t="s">
        <v>251</v>
      </c>
      <c r="K609" t="s">
        <v>234</v>
      </c>
    </row>
    <row r="610" spans="1:11" x14ac:dyDescent="0.3">
      <c r="A610" t="s">
        <v>11</v>
      </c>
      <c r="B610" t="s">
        <v>21</v>
      </c>
      <c r="C610" t="str">
        <f t="shared" si="28"/>
        <v>IPL-2017</v>
      </c>
      <c r="D610">
        <f t="shared" si="29"/>
        <v>2017</v>
      </c>
      <c r="E610" s="1">
        <v>42853</v>
      </c>
      <c r="F610" t="s">
        <v>11</v>
      </c>
      <c r="G610" t="s">
        <v>12</v>
      </c>
      <c r="H610" t="str">
        <f t="shared" si="27"/>
        <v>WIN</v>
      </c>
      <c r="I610" t="s">
        <v>11</v>
      </c>
      <c r="J610" t="s">
        <v>92</v>
      </c>
      <c r="K610" t="s">
        <v>30</v>
      </c>
    </row>
    <row r="611" spans="1:11" x14ac:dyDescent="0.3">
      <c r="A611" t="s">
        <v>249</v>
      </c>
      <c r="B611" t="s">
        <v>10</v>
      </c>
      <c r="C611" t="str">
        <f t="shared" si="28"/>
        <v>IPL-2017</v>
      </c>
      <c r="D611">
        <f t="shared" si="29"/>
        <v>2017</v>
      </c>
      <c r="E611" s="1">
        <v>42854</v>
      </c>
      <c r="F611" t="s">
        <v>10</v>
      </c>
      <c r="G611" t="s">
        <v>12</v>
      </c>
      <c r="H611" t="str">
        <f t="shared" si="27"/>
        <v>LOSS</v>
      </c>
      <c r="I611" t="s">
        <v>249</v>
      </c>
      <c r="J611" t="s">
        <v>258</v>
      </c>
      <c r="K611" t="s">
        <v>193</v>
      </c>
    </row>
    <row r="612" spans="1:11" x14ac:dyDescent="0.3">
      <c r="A612" t="s">
        <v>233</v>
      </c>
      <c r="B612" t="s">
        <v>25</v>
      </c>
      <c r="C612" t="str">
        <f t="shared" si="28"/>
        <v>IPL-2017</v>
      </c>
      <c r="D612">
        <f t="shared" si="29"/>
        <v>2017</v>
      </c>
      <c r="E612" s="1">
        <v>42854</v>
      </c>
      <c r="F612" t="s">
        <v>233</v>
      </c>
      <c r="G612" t="s">
        <v>18</v>
      </c>
      <c r="H612" t="str">
        <f t="shared" si="27"/>
        <v>LOSS</v>
      </c>
      <c r="J612" t="s">
        <v>245</v>
      </c>
      <c r="K612" t="s">
        <v>235</v>
      </c>
    </row>
    <row r="613" spans="1:11" x14ac:dyDescent="0.3">
      <c r="A613" t="s">
        <v>187</v>
      </c>
      <c r="B613" t="s">
        <v>11</v>
      </c>
      <c r="C613" t="str">
        <f t="shared" si="28"/>
        <v>IPL-2017</v>
      </c>
      <c r="D613">
        <f t="shared" si="29"/>
        <v>2017</v>
      </c>
      <c r="E613" s="1">
        <v>42855</v>
      </c>
      <c r="F613" t="s">
        <v>11</v>
      </c>
      <c r="G613" t="s">
        <v>12</v>
      </c>
      <c r="H613" t="str">
        <f t="shared" si="27"/>
        <v>LOSS</v>
      </c>
      <c r="I613" t="s">
        <v>187</v>
      </c>
      <c r="J613" t="s">
        <v>121</v>
      </c>
      <c r="K613" t="s">
        <v>34</v>
      </c>
    </row>
    <row r="614" spans="1:11" x14ac:dyDescent="0.3">
      <c r="A614" t="s">
        <v>16</v>
      </c>
      <c r="B614" t="s">
        <v>21</v>
      </c>
      <c r="C614" t="str">
        <f t="shared" si="28"/>
        <v>IPL-2017</v>
      </c>
      <c r="D614">
        <f t="shared" si="29"/>
        <v>2017</v>
      </c>
      <c r="E614" s="1">
        <v>42855</v>
      </c>
      <c r="F614" t="s">
        <v>16</v>
      </c>
      <c r="G614" t="s">
        <v>12</v>
      </c>
      <c r="H614" t="str">
        <f t="shared" si="27"/>
        <v>WIN</v>
      </c>
      <c r="I614" t="s">
        <v>16</v>
      </c>
      <c r="J614" t="s">
        <v>212</v>
      </c>
      <c r="K614" t="s">
        <v>234</v>
      </c>
    </row>
    <row r="615" spans="1:11" x14ac:dyDescent="0.3">
      <c r="A615" t="s">
        <v>249</v>
      </c>
      <c r="B615" t="s">
        <v>233</v>
      </c>
      <c r="C615" t="str">
        <f t="shared" si="28"/>
        <v>IPL-2017</v>
      </c>
      <c r="D615">
        <f t="shared" si="29"/>
        <v>2017</v>
      </c>
      <c r="E615" s="1">
        <v>42856</v>
      </c>
      <c r="F615" t="s">
        <v>249</v>
      </c>
      <c r="G615" t="s">
        <v>12</v>
      </c>
      <c r="H615" t="str">
        <f t="shared" si="27"/>
        <v>WIN</v>
      </c>
      <c r="I615" t="s">
        <v>249</v>
      </c>
      <c r="J615" t="s">
        <v>255</v>
      </c>
      <c r="K615" t="s">
        <v>193</v>
      </c>
    </row>
    <row r="616" spans="1:11" x14ac:dyDescent="0.3">
      <c r="A616" t="s">
        <v>25</v>
      </c>
      <c r="B616" t="s">
        <v>10</v>
      </c>
      <c r="C616" t="str">
        <f t="shared" si="28"/>
        <v>IPL-2017</v>
      </c>
      <c r="D616">
        <f t="shared" si="29"/>
        <v>2017</v>
      </c>
      <c r="E616" s="1">
        <v>42856</v>
      </c>
      <c r="F616" t="s">
        <v>10</v>
      </c>
      <c r="G616" t="s">
        <v>18</v>
      </c>
      <c r="H616" t="str">
        <f t="shared" si="27"/>
        <v>LOSS</v>
      </c>
      <c r="I616" t="s">
        <v>25</v>
      </c>
      <c r="J616" t="s">
        <v>93</v>
      </c>
      <c r="K616" t="s">
        <v>27</v>
      </c>
    </row>
    <row r="617" spans="1:11" x14ac:dyDescent="0.3">
      <c r="A617" t="s">
        <v>21</v>
      </c>
      <c r="B617" t="s">
        <v>187</v>
      </c>
      <c r="C617" t="str">
        <f t="shared" si="28"/>
        <v>IPL-2017</v>
      </c>
      <c r="D617">
        <f t="shared" si="29"/>
        <v>2017</v>
      </c>
      <c r="E617" s="1">
        <v>42857</v>
      </c>
      <c r="F617" t="s">
        <v>21</v>
      </c>
      <c r="G617" t="s">
        <v>12</v>
      </c>
      <c r="H617" t="str">
        <f t="shared" si="27"/>
        <v>WIN</v>
      </c>
      <c r="I617" t="s">
        <v>21</v>
      </c>
      <c r="J617" t="s">
        <v>259</v>
      </c>
      <c r="K617" t="s">
        <v>24</v>
      </c>
    </row>
    <row r="618" spans="1:11" x14ac:dyDescent="0.3">
      <c r="A618" t="s">
        <v>11</v>
      </c>
      <c r="B618" t="s">
        <v>249</v>
      </c>
      <c r="C618" t="str">
        <f t="shared" si="28"/>
        <v>IPL-2017</v>
      </c>
      <c r="D618">
        <f t="shared" si="29"/>
        <v>2017</v>
      </c>
      <c r="E618" s="1">
        <v>42858</v>
      </c>
      <c r="F618" t="s">
        <v>249</v>
      </c>
      <c r="G618" t="s">
        <v>12</v>
      </c>
      <c r="H618" t="str">
        <f t="shared" si="27"/>
        <v>WIN</v>
      </c>
      <c r="I618" t="s">
        <v>249</v>
      </c>
      <c r="J618" t="s">
        <v>260</v>
      </c>
      <c r="K618" t="s">
        <v>30</v>
      </c>
    </row>
    <row r="619" spans="1:11" x14ac:dyDescent="0.3">
      <c r="A619" t="s">
        <v>21</v>
      </c>
      <c r="B619" t="s">
        <v>233</v>
      </c>
      <c r="C619" t="str">
        <f t="shared" si="28"/>
        <v>IPL-2017</v>
      </c>
      <c r="D619">
        <f t="shared" si="29"/>
        <v>2017</v>
      </c>
      <c r="E619" s="1">
        <v>42859</v>
      </c>
      <c r="F619" t="s">
        <v>21</v>
      </c>
      <c r="G619" t="s">
        <v>12</v>
      </c>
      <c r="H619" t="str">
        <f t="shared" si="27"/>
        <v>WIN</v>
      </c>
      <c r="I619" t="s">
        <v>21</v>
      </c>
      <c r="J619" t="s">
        <v>242</v>
      </c>
      <c r="K619" t="s">
        <v>24</v>
      </c>
    </row>
    <row r="620" spans="1:11" x14ac:dyDescent="0.3">
      <c r="A620" t="s">
        <v>10</v>
      </c>
      <c r="B620" t="s">
        <v>16</v>
      </c>
      <c r="C620" t="str">
        <f t="shared" si="28"/>
        <v>IPL-2017</v>
      </c>
      <c r="D620">
        <f t="shared" si="29"/>
        <v>2017</v>
      </c>
      <c r="E620" s="1">
        <v>42860</v>
      </c>
      <c r="F620" t="s">
        <v>10</v>
      </c>
      <c r="G620" t="s">
        <v>12</v>
      </c>
      <c r="H620" t="str">
        <f t="shared" si="27"/>
        <v>LOSS</v>
      </c>
      <c r="I620" t="s">
        <v>16</v>
      </c>
      <c r="J620" t="s">
        <v>212</v>
      </c>
      <c r="K620" t="s">
        <v>14</v>
      </c>
    </row>
    <row r="621" spans="1:11" x14ac:dyDescent="0.3">
      <c r="A621" t="s">
        <v>21</v>
      </c>
      <c r="B621" t="s">
        <v>25</v>
      </c>
      <c r="C621" t="str">
        <f t="shared" si="28"/>
        <v>IPL-2017</v>
      </c>
      <c r="D621">
        <f t="shared" si="29"/>
        <v>2017</v>
      </c>
      <c r="E621" s="1">
        <v>42861</v>
      </c>
      <c r="F621" t="s">
        <v>21</v>
      </c>
      <c r="G621" t="s">
        <v>12</v>
      </c>
      <c r="H621" t="str">
        <f t="shared" si="27"/>
        <v>LOSS</v>
      </c>
      <c r="I621" t="s">
        <v>25</v>
      </c>
      <c r="J621" t="s">
        <v>217</v>
      </c>
      <c r="K621" t="s">
        <v>24</v>
      </c>
    </row>
    <row r="622" spans="1:11" x14ac:dyDescent="0.3">
      <c r="A622" t="s">
        <v>187</v>
      </c>
      <c r="B622" t="s">
        <v>249</v>
      </c>
      <c r="C622" t="str">
        <f t="shared" si="28"/>
        <v>IPL-2017</v>
      </c>
      <c r="D622">
        <f t="shared" si="29"/>
        <v>2017</v>
      </c>
      <c r="E622" s="1">
        <v>42861</v>
      </c>
      <c r="F622" t="s">
        <v>187</v>
      </c>
      <c r="G622" t="s">
        <v>12</v>
      </c>
      <c r="H622" t="str">
        <f t="shared" si="27"/>
        <v>LOSS</v>
      </c>
      <c r="I622" t="s">
        <v>249</v>
      </c>
      <c r="J622" t="s">
        <v>137</v>
      </c>
      <c r="K622" t="s">
        <v>34</v>
      </c>
    </row>
    <row r="623" spans="1:11" x14ac:dyDescent="0.3">
      <c r="A623" t="s">
        <v>10</v>
      </c>
      <c r="B623" t="s">
        <v>11</v>
      </c>
      <c r="C623" t="str">
        <f t="shared" si="28"/>
        <v>IPL-2017</v>
      </c>
      <c r="D623">
        <f t="shared" si="29"/>
        <v>2017</v>
      </c>
      <c r="E623" s="1">
        <v>42862</v>
      </c>
      <c r="F623" t="s">
        <v>11</v>
      </c>
      <c r="G623" t="s">
        <v>12</v>
      </c>
      <c r="H623" t="str">
        <f t="shared" si="27"/>
        <v>WIN</v>
      </c>
      <c r="I623" t="s">
        <v>11</v>
      </c>
      <c r="J623" t="s">
        <v>176</v>
      </c>
      <c r="K623" t="s">
        <v>14</v>
      </c>
    </row>
    <row r="624" spans="1:11" x14ac:dyDescent="0.3">
      <c r="A624" t="s">
        <v>16</v>
      </c>
      <c r="B624" t="s">
        <v>233</v>
      </c>
      <c r="C624" t="str">
        <f t="shared" si="28"/>
        <v>IPL-2017</v>
      </c>
      <c r="D624">
        <f t="shared" si="29"/>
        <v>2017</v>
      </c>
      <c r="E624" s="1">
        <v>42862</v>
      </c>
      <c r="F624" t="s">
        <v>233</v>
      </c>
      <c r="G624" t="s">
        <v>12</v>
      </c>
      <c r="H624" t="str">
        <f t="shared" si="27"/>
        <v>WIN</v>
      </c>
      <c r="I624" t="s">
        <v>233</v>
      </c>
      <c r="J624" t="s">
        <v>97</v>
      </c>
      <c r="K624" t="s">
        <v>234</v>
      </c>
    </row>
    <row r="625" spans="1:11" x14ac:dyDescent="0.3">
      <c r="A625" t="s">
        <v>187</v>
      </c>
      <c r="B625" t="s">
        <v>25</v>
      </c>
      <c r="C625" t="str">
        <f t="shared" si="28"/>
        <v>IPL-2017</v>
      </c>
      <c r="D625">
        <f t="shared" si="29"/>
        <v>2017</v>
      </c>
      <c r="E625" s="1">
        <v>42863</v>
      </c>
      <c r="F625" t="s">
        <v>25</v>
      </c>
      <c r="G625" t="s">
        <v>18</v>
      </c>
      <c r="H625" t="str">
        <f t="shared" si="27"/>
        <v>LOSS</v>
      </c>
      <c r="I625" t="s">
        <v>187</v>
      </c>
      <c r="J625" t="s">
        <v>162</v>
      </c>
      <c r="K625" t="s">
        <v>34</v>
      </c>
    </row>
    <row r="626" spans="1:11" x14ac:dyDescent="0.3">
      <c r="A626" t="s">
        <v>16</v>
      </c>
      <c r="B626" t="s">
        <v>11</v>
      </c>
      <c r="C626" t="str">
        <f t="shared" si="28"/>
        <v>IPL-2017</v>
      </c>
      <c r="D626">
        <f t="shared" si="29"/>
        <v>2017</v>
      </c>
      <c r="E626" s="1">
        <v>42864</v>
      </c>
      <c r="F626" t="s">
        <v>11</v>
      </c>
      <c r="G626" t="s">
        <v>12</v>
      </c>
      <c r="H626" t="str">
        <f t="shared" si="27"/>
        <v>LOSS</v>
      </c>
      <c r="I626" t="s">
        <v>16</v>
      </c>
      <c r="J626" t="s">
        <v>210</v>
      </c>
      <c r="K626" t="s">
        <v>234</v>
      </c>
    </row>
    <row r="627" spans="1:11" x14ac:dyDescent="0.3">
      <c r="A627" t="s">
        <v>233</v>
      </c>
      <c r="B627" t="s">
        <v>21</v>
      </c>
      <c r="C627" t="str">
        <f t="shared" si="28"/>
        <v>IPL-2017</v>
      </c>
      <c r="D627">
        <f t="shared" si="29"/>
        <v>2017</v>
      </c>
      <c r="E627" s="1">
        <v>42865</v>
      </c>
      <c r="F627" t="s">
        <v>21</v>
      </c>
      <c r="G627" t="s">
        <v>12</v>
      </c>
      <c r="H627" t="str">
        <f t="shared" si="27"/>
        <v>WIN</v>
      </c>
      <c r="I627" t="s">
        <v>21</v>
      </c>
      <c r="J627" t="s">
        <v>222</v>
      </c>
      <c r="K627" t="s">
        <v>247</v>
      </c>
    </row>
    <row r="628" spans="1:11" x14ac:dyDescent="0.3">
      <c r="A628" t="s">
        <v>25</v>
      </c>
      <c r="B628" t="s">
        <v>16</v>
      </c>
      <c r="C628" t="str">
        <f t="shared" si="28"/>
        <v>IPL-2017</v>
      </c>
      <c r="D628">
        <f t="shared" si="29"/>
        <v>2017</v>
      </c>
      <c r="E628" s="1">
        <v>42866</v>
      </c>
      <c r="F628" t="s">
        <v>25</v>
      </c>
      <c r="G628" t="s">
        <v>12</v>
      </c>
      <c r="H628" t="str">
        <f t="shared" si="27"/>
        <v>LOSS</v>
      </c>
      <c r="I628" t="s">
        <v>16</v>
      </c>
      <c r="J628" t="s">
        <v>161</v>
      </c>
      <c r="K628" t="s">
        <v>27</v>
      </c>
    </row>
    <row r="629" spans="1:11" x14ac:dyDescent="0.3">
      <c r="A629" t="s">
        <v>21</v>
      </c>
      <c r="B629" t="s">
        <v>249</v>
      </c>
      <c r="C629" t="str">
        <f t="shared" si="28"/>
        <v>IPL-2017</v>
      </c>
      <c r="D629">
        <f t="shared" si="29"/>
        <v>2017</v>
      </c>
      <c r="E629" s="1">
        <v>42867</v>
      </c>
      <c r="F629" t="s">
        <v>21</v>
      </c>
      <c r="G629" t="s">
        <v>18</v>
      </c>
      <c r="H629" t="str">
        <f t="shared" si="27"/>
        <v>WIN</v>
      </c>
      <c r="I629" t="s">
        <v>21</v>
      </c>
      <c r="J629" t="s">
        <v>215</v>
      </c>
      <c r="K629" t="s">
        <v>24</v>
      </c>
    </row>
    <row r="630" spans="1:11" x14ac:dyDescent="0.3">
      <c r="A630" t="s">
        <v>11</v>
      </c>
      <c r="B630" t="s">
        <v>25</v>
      </c>
      <c r="C630" t="str">
        <f t="shared" si="28"/>
        <v>IPL-2017</v>
      </c>
      <c r="D630">
        <f t="shared" si="29"/>
        <v>2017</v>
      </c>
      <c r="E630" s="1">
        <v>42868</v>
      </c>
      <c r="F630" t="s">
        <v>11</v>
      </c>
      <c r="G630" t="s">
        <v>12</v>
      </c>
      <c r="H630" t="str">
        <f t="shared" si="27"/>
        <v>LOSS</v>
      </c>
      <c r="I630" t="s">
        <v>25</v>
      </c>
      <c r="J630" t="s">
        <v>125</v>
      </c>
      <c r="K630" t="s">
        <v>30</v>
      </c>
    </row>
    <row r="631" spans="1:11" x14ac:dyDescent="0.3">
      <c r="A631" t="s">
        <v>233</v>
      </c>
      <c r="B631" t="s">
        <v>187</v>
      </c>
      <c r="C631" t="str">
        <f t="shared" si="28"/>
        <v>IPL-2017</v>
      </c>
      <c r="D631">
        <f t="shared" si="29"/>
        <v>2017</v>
      </c>
      <c r="E631" s="1">
        <v>42868</v>
      </c>
      <c r="F631" t="s">
        <v>187</v>
      </c>
      <c r="G631" t="s">
        <v>12</v>
      </c>
      <c r="H631" t="str">
        <f t="shared" si="27"/>
        <v>WIN</v>
      </c>
      <c r="I631" t="s">
        <v>187</v>
      </c>
      <c r="J631" t="s">
        <v>261</v>
      </c>
      <c r="K631" t="s">
        <v>247</v>
      </c>
    </row>
    <row r="632" spans="1:11" x14ac:dyDescent="0.3">
      <c r="A632" t="s">
        <v>21</v>
      </c>
      <c r="B632" t="s">
        <v>10</v>
      </c>
      <c r="C632" t="str">
        <f t="shared" si="28"/>
        <v>IPL-2017</v>
      </c>
      <c r="D632">
        <f t="shared" si="29"/>
        <v>2017</v>
      </c>
      <c r="E632" s="1">
        <v>42869</v>
      </c>
      <c r="F632" t="s">
        <v>10</v>
      </c>
      <c r="G632" t="s">
        <v>18</v>
      </c>
      <c r="H632" t="str">
        <f t="shared" si="27"/>
        <v>WIN</v>
      </c>
      <c r="I632" t="s">
        <v>10</v>
      </c>
      <c r="J632" t="s">
        <v>262</v>
      </c>
      <c r="K632" t="s">
        <v>24</v>
      </c>
    </row>
    <row r="633" spans="1:11" x14ac:dyDescent="0.3">
      <c r="A633" t="s">
        <v>249</v>
      </c>
      <c r="B633" t="s">
        <v>16</v>
      </c>
      <c r="C633" t="str">
        <f t="shared" si="28"/>
        <v>IPL-2017</v>
      </c>
      <c r="D633">
        <f t="shared" si="29"/>
        <v>2017</v>
      </c>
      <c r="E633" s="1">
        <v>42869</v>
      </c>
      <c r="F633" t="s">
        <v>249</v>
      </c>
      <c r="G633" t="s">
        <v>12</v>
      </c>
      <c r="H633" t="str">
        <f t="shared" si="27"/>
        <v>WIN</v>
      </c>
      <c r="I633" t="s">
        <v>249</v>
      </c>
      <c r="J633" t="s">
        <v>137</v>
      </c>
      <c r="K633" t="s">
        <v>193</v>
      </c>
    </row>
    <row r="634" spans="1:11" x14ac:dyDescent="0.3">
      <c r="A634" t="s">
        <v>25</v>
      </c>
      <c r="B634" t="s">
        <v>249</v>
      </c>
      <c r="C634" t="str">
        <f t="shared" si="28"/>
        <v>IPL-2017</v>
      </c>
      <c r="D634">
        <f t="shared" si="29"/>
        <v>2017</v>
      </c>
      <c r="E634" s="1">
        <v>42871</v>
      </c>
      <c r="F634" t="s">
        <v>25</v>
      </c>
      <c r="G634" t="s">
        <v>12</v>
      </c>
      <c r="H634" t="str">
        <f t="shared" si="27"/>
        <v>LOSS</v>
      </c>
      <c r="I634" t="s">
        <v>249</v>
      </c>
      <c r="J634" t="s">
        <v>263</v>
      </c>
      <c r="K634" t="s">
        <v>27</v>
      </c>
    </row>
    <row r="635" spans="1:11" x14ac:dyDescent="0.3">
      <c r="A635" t="s">
        <v>187</v>
      </c>
      <c r="B635" t="s">
        <v>11</v>
      </c>
      <c r="C635" t="str">
        <f t="shared" si="28"/>
        <v>IPL-2017</v>
      </c>
      <c r="D635">
        <f t="shared" si="29"/>
        <v>2017</v>
      </c>
      <c r="E635" s="1">
        <v>42872</v>
      </c>
      <c r="F635" t="s">
        <v>11</v>
      </c>
      <c r="G635" t="s">
        <v>12</v>
      </c>
      <c r="H635" t="str">
        <f t="shared" si="27"/>
        <v>WIN</v>
      </c>
      <c r="I635" t="s">
        <v>11</v>
      </c>
      <c r="J635" t="s">
        <v>226</v>
      </c>
      <c r="K635" t="s">
        <v>14</v>
      </c>
    </row>
    <row r="636" spans="1:11" x14ac:dyDescent="0.3">
      <c r="A636" t="s">
        <v>25</v>
      </c>
      <c r="B636" t="s">
        <v>11</v>
      </c>
      <c r="C636" t="str">
        <f t="shared" si="28"/>
        <v>IPL-2017</v>
      </c>
      <c r="D636">
        <f t="shared" si="29"/>
        <v>2017</v>
      </c>
      <c r="E636" s="1">
        <v>42874</v>
      </c>
      <c r="F636" t="s">
        <v>25</v>
      </c>
      <c r="G636" t="s">
        <v>12</v>
      </c>
      <c r="H636" t="str">
        <f t="shared" si="27"/>
        <v>WIN</v>
      </c>
      <c r="I636" t="s">
        <v>25</v>
      </c>
      <c r="J636" t="s">
        <v>264</v>
      </c>
      <c r="K636" t="s">
        <v>14</v>
      </c>
    </row>
    <row r="637" spans="1:11" x14ac:dyDescent="0.3">
      <c r="A637" t="s">
        <v>25</v>
      </c>
      <c r="B637" t="s">
        <v>249</v>
      </c>
      <c r="C637" t="str">
        <f t="shared" si="28"/>
        <v>IPL-2017</v>
      </c>
      <c r="D637">
        <f t="shared" si="29"/>
        <v>2017</v>
      </c>
      <c r="E637" s="1">
        <v>42876</v>
      </c>
      <c r="F637" t="s">
        <v>25</v>
      </c>
      <c r="G637" t="s">
        <v>18</v>
      </c>
      <c r="H637" t="str">
        <f t="shared" si="27"/>
        <v>WIN</v>
      </c>
      <c r="I637" t="s">
        <v>25</v>
      </c>
      <c r="J637" t="s">
        <v>245</v>
      </c>
      <c r="K637" t="s">
        <v>34</v>
      </c>
    </row>
    <row r="638" spans="1:11" x14ac:dyDescent="0.3">
      <c r="A638" t="s">
        <v>25</v>
      </c>
      <c r="B638" t="s">
        <v>17</v>
      </c>
      <c r="C638" t="str">
        <f t="shared" si="28"/>
        <v>IPL-2018</v>
      </c>
      <c r="D638">
        <f t="shared" si="29"/>
        <v>2018</v>
      </c>
      <c r="E638" s="1">
        <v>43197</v>
      </c>
      <c r="F638" t="s">
        <v>17</v>
      </c>
      <c r="G638" t="s">
        <v>12</v>
      </c>
      <c r="H638" t="str">
        <f t="shared" si="27"/>
        <v>WIN</v>
      </c>
      <c r="I638" t="s">
        <v>17</v>
      </c>
      <c r="J638" t="s">
        <v>60</v>
      </c>
      <c r="K638" t="s">
        <v>27</v>
      </c>
    </row>
    <row r="639" spans="1:11" x14ac:dyDescent="0.3">
      <c r="A639" t="s">
        <v>21</v>
      </c>
      <c r="B639" t="s">
        <v>16</v>
      </c>
      <c r="C639" t="str">
        <f t="shared" si="28"/>
        <v>IPL-2018</v>
      </c>
      <c r="D639">
        <f t="shared" si="29"/>
        <v>2018</v>
      </c>
      <c r="E639" s="1">
        <v>43198</v>
      </c>
      <c r="F639" t="s">
        <v>16</v>
      </c>
      <c r="G639" t="s">
        <v>12</v>
      </c>
      <c r="H639" t="str">
        <f t="shared" si="27"/>
        <v>WIN</v>
      </c>
      <c r="I639" t="s">
        <v>16</v>
      </c>
      <c r="J639" t="s">
        <v>265</v>
      </c>
      <c r="K639" t="s">
        <v>266</v>
      </c>
    </row>
    <row r="640" spans="1:11" x14ac:dyDescent="0.3">
      <c r="A640" t="s">
        <v>10</v>
      </c>
      <c r="B640" t="s">
        <v>11</v>
      </c>
      <c r="C640" t="str">
        <f t="shared" si="28"/>
        <v>IPL-2018</v>
      </c>
      <c r="D640">
        <f t="shared" si="29"/>
        <v>2018</v>
      </c>
      <c r="E640" s="1">
        <v>43198</v>
      </c>
      <c r="F640" t="s">
        <v>11</v>
      </c>
      <c r="G640" t="s">
        <v>12</v>
      </c>
      <c r="H640" t="str">
        <f t="shared" si="27"/>
        <v>WIN</v>
      </c>
      <c r="I640" t="s">
        <v>11</v>
      </c>
      <c r="J640" t="s">
        <v>176</v>
      </c>
      <c r="K640" t="s">
        <v>30</v>
      </c>
    </row>
    <row r="641" spans="1:11" x14ac:dyDescent="0.3">
      <c r="A641" t="s">
        <v>22</v>
      </c>
      <c r="B641" t="s">
        <v>187</v>
      </c>
      <c r="C641" t="str">
        <f t="shared" si="28"/>
        <v>IPL-2018</v>
      </c>
      <c r="D641">
        <f t="shared" si="29"/>
        <v>2018</v>
      </c>
      <c r="E641" s="1">
        <v>43199</v>
      </c>
      <c r="F641" t="s">
        <v>187</v>
      </c>
      <c r="G641" t="s">
        <v>12</v>
      </c>
      <c r="H641" t="str">
        <f t="shared" si="27"/>
        <v>WIN</v>
      </c>
      <c r="I641" t="s">
        <v>187</v>
      </c>
      <c r="J641" t="s">
        <v>162</v>
      </c>
      <c r="K641" t="s">
        <v>267</v>
      </c>
    </row>
    <row r="642" spans="1:11" x14ac:dyDescent="0.3">
      <c r="A642" t="s">
        <v>11</v>
      </c>
      <c r="B642" t="s">
        <v>17</v>
      </c>
      <c r="C642" t="str">
        <f t="shared" si="28"/>
        <v>IPL-2018</v>
      </c>
      <c r="D642">
        <f t="shared" si="29"/>
        <v>2018</v>
      </c>
      <c r="E642" s="1">
        <v>43200</v>
      </c>
      <c r="F642" t="s">
        <v>17</v>
      </c>
      <c r="G642" t="s">
        <v>12</v>
      </c>
      <c r="H642" t="str">
        <f t="shared" ref="H642:H705" si="30">IF(F642=I642,"WIN","LOSS")</f>
        <v>WIN</v>
      </c>
      <c r="I642" t="s">
        <v>17</v>
      </c>
      <c r="J642" t="s">
        <v>268</v>
      </c>
      <c r="K642" t="s">
        <v>269</v>
      </c>
    </row>
    <row r="643" spans="1:11" x14ac:dyDescent="0.3">
      <c r="A643" t="s">
        <v>22</v>
      </c>
      <c r="B643" t="s">
        <v>21</v>
      </c>
      <c r="C643" t="str">
        <f t="shared" ref="C643:C706" si="31">_xlfn.CONCAT("IPL-",D643)</f>
        <v>IPL-2018</v>
      </c>
      <c r="D643">
        <f t="shared" ref="D643:D706" si="32">YEAR(E643)</f>
        <v>2018</v>
      </c>
      <c r="E643" s="1">
        <v>43201</v>
      </c>
      <c r="F643" t="s">
        <v>21</v>
      </c>
      <c r="G643" t="s">
        <v>12</v>
      </c>
      <c r="H643" t="str">
        <f t="shared" si="30"/>
        <v>LOSS</v>
      </c>
      <c r="I643" t="s">
        <v>22</v>
      </c>
      <c r="J643" t="s">
        <v>196</v>
      </c>
      <c r="K643" t="s">
        <v>32</v>
      </c>
    </row>
    <row r="644" spans="1:11" x14ac:dyDescent="0.3">
      <c r="A644" t="s">
        <v>25</v>
      </c>
      <c r="B644" t="s">
        <v>187</v>
      </c>
      <c r="C644" t="str">
        <f t="shared" si="31"/>
        <v>IPL-2018</v>
      </c>
      <c r="D644">
        <f t="shared" si="32"/>
        <v>2018</v>
      </c>
      <c r="E644" s="1">
        <v>43202</v>
      </c>
      <c r="F644" t="s">
        <v>187</v>
      </c>
      <c r="G644" t="s">
        <v>12</v>
      </c>
      <c r="H644" t="str">
        <f t="shared" si="30"/>
        <v>WIN</v>
      </c>
      <c r="I644" t="s">
        <v>187</v>
      </c>
      <c r="J644" t="s">
        <v>251</v>
      </c>
      <c r="K644" t="s">
        <v>267</v>
      </c>
    </row>
    <row r="645" spans="1:11" x14ac:dyDescent="0.3">
      <c r="A645" t="s">
        <v>16</v>
      </c>
      <c r="B645" t="s">
        <v>10</v>
      </c>
      <c r="C645" t="str">
        <f t="shared" si="31"/>
        <v>IPL-2018</v>
      </c>
      <c r="D645">
        <f t="shared" si="32"/>
        <v>2018</v>
      </c>
      <c r="E645" s="1">
        <v>43203</v>
      </c>
      <c r="F645" t="s">
        <v>10</v>
      </c>
      <c r="G645" t="s">
        <v>12</v>
      </c>
      <c r="H645" t="str">
        <f t="shared" si="30"/>
        <v>WIN</v>
      </c>
      <c r="I645" t="s">
        <v>10</v>
      </c>
      <c r="J645" t="s">
        <v>185</v>
      </c>
      <c r="K645" t="s">
        <v>250</v>
      </c>
    </row>
    <row r="646" spans="1:11" x14ac:dyDescent="0.3">
      <c r="A646" t="s">
        <v>25</v>
      </c>
      <c r="B646" t="s">
        <v>21</v>
      </c>
      <c r="C646" t="str">
        <f t="shared" si="31"/>
        <v>IPL-2018</v>
      </c>
      <c r="D646">
        <f t="shared" si="32"/>
        <v>2018</v>
      </c>
      <c r="E646" s="1">
        <v>43204</v>
      </c>
      <c r="F646" t="s">
        <v>21</v>
      </c>
      <c r="G646" t="s">
        <v>12</v>
      </c>
      <c r="H646" t="str">
        <f t="shared" si="30"/>
        <v>WIN</v>
      </c>
      <c r="I646" t="s">
        <v>21</v>
      </c>
      <c r="J646" t="s">
        <v>270</v>
      </c>
      <c r="K646" t="s">
        <v>27</v>
      </c>
    </row>
    <row r="647" spans="1:11" x14ac:dyDescent="0.3">
      <c r="A647" t="s">
        <v>11</v>
      </c>
      <c r="B647" t="s">
        <v>187</v>
      </c>
      <c r="C647" t="str">
        <f t="shared" si="31"/>
        <v>IPL-2018</v>
      </c>
      <c r="D647">
        <f t="shared" si="32"/>
        <v>2018</v>
      </c>
      <c r="E647" s="1">
        <v>43204</v>
      </c>
      <c r="F647" t="s">
        <v>187</v>
      </c>
      <c r="G647" t="s">
        <v>12</v>
      </c>
      <c r="H647" t="str">
        <f t="shared" si="30"/>
        <v>WIN</v>
      </c>
      <c r="I647" t="s">
        <v>187</v>
      </c>
      <c r="J647" t="s">
        <v>271</v>
      </c>
      <c r="K647" t="s">
        <v>30</v>
      </c>
    </row>
    <row r="648" spans="1:11" x14ac:dyDescent="0.3">
      <c r="A648" t="s">
        <v>22</v>
      </c>
      <c r="B648" t="s">
        <v>10</v>
      </c>
      <c r="C648" t="str">
        <f t="shared" si="31"/>
        <v>IPL-2018</v>
      </c>
      <c r="D648">
        <f t="shared" si="32"/>
        <v>2018</v>
      </c>
      <c r="E648" s="1">
        <v>43205</v>
      </c>
      <c r="F648" t="s">
        <v>10</v>
      </c>
      <c r="G648" t="s">
        <v>12</v>
      </c>
      <c r="H648" t="str">
        <f t="shared" si="30"/>
        <v>LOSS</v>
      </c>
      <c r="I648" t="s">
        <v>22</v>
      </c>
      <c r="J648" t="s">
        <v>196</v>
      </c>
      <c r="K648" t="s">
        <v>250</v>
      </c>
    </row>
    <row r="649" spans="1:11" x14ac:dyDescent="0.3">
      <c r="A649" t="s">
        <v>16</v>
      </c>
      <c r="B649" t="s">
        <v>17</v>
      </c>
      <c r="C649" t="str">
        <f t="shared" si="31"/>
        <v>IPL-2018</v>
      </c>
      <c r="D649">
        <f t="shared" si="32"/>
        <v>2018</v>
      </c>
      <c r="E649" s="1">
        <v>43205</v>
      </c>
      <c r="F649" t="s">
        <v>17</v>
      </c>
      <c r="G649" t="s">
        <v>12</v>
      </c>
      <c r="H649" t="str">
        <f t="shared" si="30"/>
        <v>LOSS</v>
      </c>
      <c r="I649" t="s">
        <v>16</v>
      </c>
      <c r="J649" t="s">
        <v>77</v>
      </c>
      <c r="K649" t="s">
        <v>266</v>
      </c>
    </row>
    <row r="650" spans="1:11" x14ac:dyDescent="0.3">
      <c r="A650" t="s">
        <v>11</v>
      </c>
      <c r="B650" t="s">
        <v>21</v>
      </c>
      <c r="C650" t="str">
        <f t="shared" si="31"/>
        <v>IPL-2018</v>
      </c>
      <c r="D650">
        <f t="shared" si="32"/>
        <v>2018</v>
      </c>
      <c r="E650" s="1">
        <v>43206</v>
      </c>
      <c r="F650" t="s">
        <v>21</v>
      </c>
      <c r="G650" t="s">
        <v>12</v>
      </c>
      <c r="H650" t="str">
        <f t="shared" si="30"/>
        <v>LOSS</v>
      </c>
      <c r="I650" t="s">
        <v>11</v>
      </c>
      <c r="J650" t="s">
        <v>252</v>
      </c>
      <c r="K650" t="s">
        <v>30</v>
      </c>
    </row>
    <row r="651" spans="1:11" x14ac:dyDescent="0.3">
      <c r="A651" t="s">
        <v>25</v>
      </c>
      <c r="B651" t="s">
        <v>10</v>
      </c>
      <c r="C651" t="str">
        <f t="shared" si="31"/>
        <v>IPL-2018</v>
      </c>
      <c r="D651">
        <f t="shared" si="32"/>
        <v>2018</v>
      </c>
      <c r="E651" s="1">
        <v>43207</v>
      </c>
      <c r="F651" t="s">
        <v>10</v>
      </c>
      <c r="G651" t="s">
        <v>12</v>
      </c>
      <c r="H651" t="str">
        <f t="shared" si="30"/>
        <v>LOSS</v>
      </c>
      <c r="I651" t="s">
        <v>25</v>
      </c>
      <c r="J651" t="s">
        <v>93</v>
      </c>
      <c r="K651" t="s">
        <v>27</v>
      </c>
    </row>
    <row r="652" spans="1:11" x14ac:dyDescent="0.3">
      <c r="A652" t="s">
        <v>22</v>
      </c>
      <c r="B652" t="s">
        <v>11</v>
      </c>
      <c r="C652" t="str">
        <f t="shared" si="31"/>
        <v>IPL-2018</v>
      </c>
      <c r="D652">
        <f t="shared" si="32"/>
        <v>2018</v>
      </c>
      <c r="E652" s="1">
        <v>43208</v>
      </c>
      <c r="F652" t="s">
        <v>11</v>
      </c>
      <c r="G652" t="s">
        <v>12</v>
      </c>
      <c r="H652" t="str">
        <f t="shared" si="30"/>
        <v>WIN</v>
      </c>
      <c r="I652" t="s">
        <v>11</v>
      </c>
      <c r="J652" t="s">
        <v>252</v>
      </c>
      <c r="K652" t="s">
        <v>32</v>
      </c>
    </row>
    <row r="653" spans="1:11" x14ac:dyDescent="0.3">
      <c r="A653" t="s">
        <v>16</v>
      </c>
      <c r="B653" t="s">
        <v>187</v>
      </c>
      <c r="C653" t="str">
        <f t="shared" si="31"/>
        <v>IPL-2018</v>
      </c>
      <c r="D653">
        <f t="shared" si="32"/>
        <v>2018</v>
      </c>
      <c r="E653" s="1">
        <v>43209</v>
      </c>
      <c r="F653" t="s">
        <v>16</v>
      </c>
      <c r="G653" t="s">
        <v>18</v>
      </c>
      <c r="H653" t="str">
        <f t="shared" si="30"/>
        <v>WIN</v>
      </c>
      <c r="I653" t="s">
        <v>16</v>
      </c>
      <c r="J653" t="s">
        <v>77</v>
      </c>
      <c r="K653" t="s">
        <v>266</v>
      </c>
    </row>
    <row r="654" spans="1:11" x14ac:dyDescent="0.3">
      <c r="A654" t="s">
        <v>17</v>
      </c>
      <c r="B654" t="s">
        <v>22</v>
      </c>
      <c r="C654" t="str">
        <f t="shared" si="31"/>
        <v>IPL-2018</v>
      </c>
      <c r="D654">
        <f t="shared" si="32"/>
        <v>2018</v>
      </c>
      <c r="E654" s="1">
        <v>43210</v>
      </c>
      <c r="F654" t="s">
        <v>22</v>
      </c>
      <c r="G654" t="s">
        <v>12</v>
      </c>
      <c r="H654" t="str">
        <f t="shared" si="30"/>
        <v>LOSS</v>
      </c>
      <c r="I654" t="s">
        <v>17</v>
      </c>
      <c r="J654" t="s">
        <v>31</v>
      </c>
      <c r="K654" t="s">
        <v>193</v>
      </c>
    </row>
    <row r="655" spans="1:11" x14ac:dyDescent="0.3">
      <c r="A655" t="s">
        <v>21</v>
      </c>
      <c r="B655" t="s">
        <v>10</v>
      </c>
      <c r="C655" t="str">
        <f t="shared" si="31"/>
        <v>IPL-2018</v>
      </c>
      <c r="D655">
        <f t="shared" si="32"/>
        <v>2018</v>
      </c>
      <c r="E655" s="1">
        <v>43211</v>
      </c>
      <c r="F655" t="s">
        <v>10</v>
      </c>
      <c r="G655" t="s">
        <v>12</v>
      </c>
      <c r="H655" t="str">
        <f t="shared" si="30"/>
        <v>WIN</v>
      </c>
      <c r="I655" t="s">
        <v>10</v>
      </c>
      <c r="J655" t="s">
        <v>79</v>
      </c>
      <c r="K655" t="s">
        <v>250</v>
      </c>
    </row>
    <row r="656" spans="1:11" x14ac:dyDescent="0.3">
      <c r="A656" t="s">
        <v>11</v>
      </c>
      <c r="B656" t="s">
        <v>16</v>
      </c>
      <c r="C656" t="str">
        <f t="shared" si="31"/>
        <v>IPL-2018</v>
      </c>
      <c r="D656">
        <f t="shared" si="32"/>
        <v>2018</v>
      </c>
      <c r="E656" s="1">
        <v>43211</v>
      </c>
      <c r="F656" t="s">
        <v>16</v>
      </c>
      <c r="G656" t="s">
        <v>12</v>
      </c>
      <c r="H656" t="str">
        <f t="shared" si="30"/>
        <v>WIN</v>
      </c>
      <c r="I656" t="s">
        <v>16</v>
      </c>
      <c r="J656" t="s">
        <v>265</v>
      </c>
      <c r="K656" t="s">
        <v>30</v>
      </c>
    </row>
    <row r="657" spans="1:11" x14ac:dyDescent="0.3">
      <c r="A657" t="s">
        <v>25</v>
      </c>
      <c r="B657" t="s">
        <v>22</v>
      </c>
      <c r="C657" t="str">
        <f t="shared" si="31"/>
        <v>IPL-2018</v>
      </c>
      <c r="D657">
        <f t="shared" si="32"/>
        <v>2018</v>
      </c>
      <c r="E657" s="1">
        <v>43212</v>
      </c>
      <c r="F657" t="s">
        <v>25</v>
      </c>
      <c r="G657" t="s">
        <v>18</v>
      </c>
      <c r="H657" t="str">
        <f t="shared" si="30"/>
        <v>LOSS</v>
      </c>
      <c r="I657" t="s">
        <v>22</v>
      </c>
      <c r="J657" t="s">
        <v>272</v>
      </c>
      <c r="K657" t="s">
        <v>32</v>
      </c>
    </row>
    <row r="658" spans="1:11" x14ac:dyDescent="0.3">
      <c r="A658" t="s">
        <v>17</v>
      </c>
      <c r="B658" t="s">
        <v>187</v>
      </c>
      <c r="C658" t="str">
        <f t="shared" si="31"/>
        <v>IPL-2018</v>
      </c>
      <c r="D658">
        <f t="shared" si="32"/>
        <v>2018</v>
      </c>
      <c r="E658" s="1">
        <v>43212</v>
      </c>
      <c r="F658" t="s">
        <v>187</v>
      </c>
      <c r="G658" t="s">
        <v>12</v>
      </c>
      <c r="H658" t="str">
        <f t="shared" si="30"/>
        <v>LOSS</v>
      </c>
      <c r="I658" t="s">
        <v>17</v>
      </c>
      <c r="J658" t="s">
        <v>125</v>
      </c>
      <c r="K658" t="s">
        <v>267</v>
      </c>
    </row>
    <row r="659" spans="1:11" x14ac:dyDescent="0.3">
      <c r="A659" t="s">
        <v>16</v>
      </c>
      <c r="B659" t="s">
        <v>21</v>
      </c>
      <c r="C659" t="str">
        <f t="shared" si="31"/>
        <v>IPL-2018</v>
      </c>
      <c r="D659">
        <f t="shared" si="32"/>
        <v>2018</v>
      </c>
      <c r="E659" s="1">
        <v>43213</v>
      </c>
      <c r="F659" t="s">
        <v>21</v>
      </c>
      <c r="G659" t="s">
        <v>12</v>
      </c>
      <c r="H659" t="str">
        <f t="shared" si="30"/>
        <v>LOSS</v>
      </c>
      <c r="I659" t="s">
        <v>16</v>
      </c>
      <c r="J659" t="s">
        <v>273</v>
      </c>
      <c r="K659" t="s">
        <v>274</v>
      </c>
    </row>
    <row r="660" spans="1:11" x14ac:dyDescent="0.3">
      <c r="A660" t="s">
        <v>187</v>
      </c>
      <c r="B660" t="s">
        <v>25</v>
      </c>
      <c r="C660" t="str">
        <f t="shared" si="31"/>
        <v>IPL-2018</v>
      </c>
      <c r="D660">
        <f t="shared" si="32"/>
        <v>2018</v>
      </c>
      <c r="E660" s="1">
        <v>43214</v>
      </c>
      <c r="F660" t="s">
        <v>25</v>
      </c>
      <c r="G660" t="s">
        <v>12</v>
      </c>
      <c r="H660" t="str">
        <f t="shared" si="30"/>
        <v>LOSS</v>
      </c>
      <c r="I660" t="s">
        <v>187</v>
      </c>
      <c r="J660" t="s">
        <v>251</v>
      </c>
      <c r="K660" t="s">
        <v>27</v>
      </c>
    </row>
    <row r="661" spans="1:11" x14ac:dyDescent="0.3">
      <c r="A661" t="s">
        <v>10</v>
      </c>
      <c r="B661" t="s">
        <v>17</v>
      </c>
      <c r="C661" t="str">
        <f t="shared" si="31"/>
        <v>IPL-2018</v>
      </c>
      <c r="D661">
        <f t="shared" si="32"/>
        <v>2018</v>
      </c>
      <c r="E661" s="1">
        <v>43215</v>
      </c>
      <c r="F661" t="s">
        <v>17</v>
      </c>
      <c r="G661" t="s">
        <v>12</v>
      </c>
      <c r="H661" t="str">
        <f t="shared" si="30"/>
        <v>WIN</v>
      </c>
      <c r="I661" t="s">
        <v>17</v>
      </c>
      <c r="J661" t="s">
        <v>43</v>
      </c>
      <c r="K661" t="s">
        <v>250</v>
      </c>
    </row>
    <row r="662" spans="1:11" x14ac:dyDescent="0.3">
      <c r="A662" t="s">
        <v>187</v>
      </c>
      <c r="B662" t="s">
        <v>16</v>
      </c>
      <c r="C662" t="str">
        <f t="shared" si="31"/>
        <v>IPL-2018</v>
      </c>
      <c r="D662">
        <f t="shared" si="32"/>
        <v>2018</v>
      </c>
      <c r="E662" s="1">
        <v>43216</v>
      </c>
      <c r="F662" t="s">
        <v>16</v>
      </c>
      <c r="G662" t="s">
        <v>12</v>
      </c>
      <c r="H662" t="str">
        <f t="shared" si="30"/>
        <v>LOSS</v>
      </c>
      <c r="I662" t="s">
        <v>187</v>
      </c>
      <c r="J662" t="s">
        <v>273</v>
      </c>
      <c r="K662" t="s">
        <v>267</v>
      </c>
    </row>
    <row r="663" spans="1:11" x14ac:dyDescent="0.3">
      <c r="A663" t="s">
        <v>21</v>
      </c>
      <c r="B663" t="s">
        <v>11</v>
      </c>
      <c r="C663" t="str">
        <f t="shared" si="31"/>
        <v>IPL-2018</v>
      </c>
      <c r="D663">
        <f t="shared" si="32"/>
        <v>2018</v>
      </c>
      <c r="E663" s="1">
        <v>43217</v>
      </c>
      <c r="F663" t="s">
        <v>11</v>
      </c>
      <c r="G663" t="s">
        <v>12</v>
      </c>
      <c r="H663" t="str">
        <f t="shared" si="30"/>
        <v>LOSS</v>
      </c>
      <c r="I663" t="s">
        <v>21</v>
      </c>
      <c r="J663" t="s">
        <v>222</v>
      </c>
      <c r="K663" t="s">
        <v>274</v>
      </c>
    </row>
    <row r="664" spans="1:11" x14ac:dyDescent="0.3">
      <c r="A664" t="s">
        <v>17</v>
      </c>
      <c r="B664" t="s">
        <v>25</v>
      </c>
      <c r="C664" t="str">
        <f t="shared" si="31"/>
        <v>IPL-2018</v>
      </c>
      <c r="D664">
        <f t="shared" si="32"/>
        <v>2018</v>
      </c>
      <c r="E664" s="1">
        <v>43218</v>
      </c>
      <c r="F664" t="s">
        <v>25</v>
      </c>
      <c r="G664" t="s">
        <v>12</v>
      </c>
      <c r="H664" t="str">
        <f t="shared" si="30"/>
        <v>WIN</v>
      </c>
      <c r="I664" t="s">
        <v>25</v>
      </c>
      <c r="J664" t="s">
        <v>93</v>
      </c>
      <c r="K664" t="s">
        <v>193</v>
      </c>
    </row>
    <row r="665" spans="1:11" x14ac:dyDescent="0.3">
      <c r="A665" t="s">
        <v>187</v>
      </c>
      <c r="B665" t="s">
        <v>22</v>
      </c>
      <c r="C665" t="str">
        <f t="shared" si="31"/>
        <v>IPL-2018</v>
      </c>
      <c r="D665">
        <f t="shared" si="32"/>
        <v>2018</v>
      </c>
      <c r="E665" s="1">
        <v>43219</v>
      </c>
      <c r="F665" t="s">
        <v>187</v>
      </c>
      <c r="G665" t="s">
        <v>18</v>
      </c>
      <c r="H665" t="str">
        <f t="shared" si="30"/>
        <v>WIN</v>
      </c>
      <c r="I665" t="s">
        <v>187</v>
      </c>
      <c r="J665" t="s">
        <v>256</v>
      </c>
      <c r="K665" t="s">
        <v>32</v>
      </c>
    </row>
    <row r="666" spans="1:11" x14ac:dyDescent="0.3">
      <c r="A666" t="s">
        <v>10</v>
      </c>
      <c r="B666" t="s">
        <v>11</v>
      </c>
      <c r="C666" t="str">
        <f t="shared" si="31"/>
        <v>IPL-2018</v>
      </c>
      <c r="D666">
        <f t="shared" si="32"/>
        <v>2018</v>
      </c>
      <c r="E666" s="1">
        <v>43219</v>
      </c>
      <c r="F666" t="s">
        <v>11</v>
      </c>
      <c r="G666" t="s">
        <v>12</v>
      </c>
      <c r="H666" t="str">
        <f t="shared" si="30"/>
        <v>WIN</v>
      </c>
      <c r="I666" t="s">
        <v>11</v>
      </c>
      <c r="J666" t="s">
        <v>209</v>
      </c>
      <c r="K666" t="s">
        <v>250</v>
      </c>
    </row>
    <row r="667" spans="1:11" x14ac:dyDescent="0.3">
      <c r="A667" t="s">
        <v>17</v>
      </c>
      <c r="B667" t="s">
        <v>21</v>
      </c>
      <c r="C667" t="str">
        <f t="shared" si="31"/>
        <v>IPL-2018</v>
      </c>
      <c r="D667">
        <f t="shared" si="32"/>
        <v>2018</v>
      </c>
      <c r="E667" s="1">
        <v>43220</v>
      </c>
      <c r="F667" t="s">
        <v>21</v>
      </c>
      <c r="G667" t="s">
        <v>12</v>
      </c>
      <c r="H667" t="str">
        <f t="shared" si="30"/>
        <v>LOSS</v>
      </c>
      <c r="I667" t="s">
        <v>17</v>
      </c>
      <c r="J667" t="s">
        <v>31</v>
      </c>
      <c r="K667" t="s">
        <v>193</v>
      </c>
    </row>
    <row r="668" spans="1:11" x14ac:dyDescent="0.3">
      <c r="A668" t="s">
        <v>10</v>
      </c>
      <c r="B668" t="s">
        <v>25</v>
      </c>
      <c r="C668" t="str">
        <f t="shared" si="31"/>
        <v>IPL-2018</v>
      </c>
      <c r="D668">
        <f t="shared" si="32"/>
        <v>2018</v>
      </c>
      <c r="E668" s="1">
        <v>43221</v>
      </c>
      <c r="F668" t="s">
        <v>25</v>
      </c>
      <c r="G668" t="s">
        <v>12</v>
      </c>
      <c r="H668" t="str">
        <f t="shared" si="30"/>
        <v>LOSS</v>
      </c>
      <c r="I668" t="s">
        <v>10</v>
      </c>
      <c r="J668" t="s">
        <v>275</v>
      </c>
      <c r="K668" t="s">
        <v>250</v>
      </c>
    </row>
    <row r="669" spans="1:11" x14ac:dyDescent="0.3">
      <c r="A669" t="s">
        <v>21</v>
      </c>
      <c r="B669" t="s">
        <v>22</v>
      </c>
      <c r="C669" t="str">
        <f t="shared" si="31"/>
        <v>IPL-2018</v>
      </c>
      <c r="D669">
        <f t="shared" si="32"/>
        <v>2018</v>
      </c>
      <c r="E669" s="1">
        <v>43222</v>
      </c>
      <c r="F669" t="s">
        <v>22</v>
      </c>
      <c r="G669" t="s">
        <v>12</v>
      </c>
      <c r="H669" t="str">
        <f t="shared" si="30"/>
        <v>LOSS</v>
      </c>
      <c r="I669" t="s">
        <v>21</v>
      </c>
      <c r="J669" t="s">
        <v>242</v>
      </c>
      <c r="K669" t="s">
        <v>274</v>
      </c>
    </row>
    <row r="670" spans="1:11" x14ac:dyDescent="0.3">
      <c r="A670" t="s">
        <v>17</v>
      </c>
      <c r="B670" t="s">
        <v>11</v>
      </c>
      <c r="C670" t="str">
        <f t="shared" si="31"/>
        <v>IPL-2018</v>
      </c>
      <c r="D670">
        <f t="shared" si="32"/>
        <v>2018</v>
      </c>
      <c r="E670" s="1">
        <v>43223</v>
      </c>
      <c r="F670" t="s">
        <v>11</v>
      </c>
      <c r="G670" t="s">
        <v>12</v>
      </c>
      <c r="H670" t="str">
        <f t="shared" si="30"/>
        <v>WIN</v>
      </c>
      <c r="I670" t="s">
        <v>11</v>
      </c>
      <c r="J670" t="s">
        <v>176</v>
      </c>
      <c r="K670" t="s">
        <v>30</v>
      </c>
    </row>
    <row r="671" spans="1:11" x14ac:dyDescent="0.3">
      <c r="A671" t="s">
        <v>16</v>
      </c>
      <c r="B671" t="s">
        <v>25</v>
      </c>
      <c r="C671" t="str">
        <f t="shared" si="31"/>
        <v>IPL-2018</v>
      </c>
      <c r="D671">
        <f t="shared" si="32"/>
        <v>2018</v>
      </c>
      <c r="E671" s="1">
        <v>43224</v>
      </c>
      <c r="F671" t="s">
        <v>25</v>
      </c>
      <c r="G671" t="s">
        <v>12</v>
      </c>
      <c r="H671" t="str">
        <f t="shared" si="30"/>
        <v>WIN</v>
      </c>
      <c r="I671" t="s">
        <v>25</v>
      </c>
      <c r="J671" t="s">
        <v>238</v>
      </c>
      <c r="K671" t="s">
        <v>160</v>
      </c>
    </row>
    <row r="672" spans="1:11" x14ac:dyDescent="0.3">
      <c r="A672" t="s">
        <v>10</v>
      </c>
      <c r="B672" t="s">
        <v>17</v>
      </c>
      <c r="C672" t="str">
        <f t="shared" si="31"/>
        <v>IPL-2018</v>
      </c>
      <c r="D672">
        <f t="shared" si="32"/>
        <v>2018</v>
      </c>
      <c r="E672" s="1">
        <v>43225</v>
      </c>
      <c r="F672" t="s">
        <v>17</v>
      </c>
      <c r="G672" t="s">
        <v>12</v>
      </c>
      <c r="H672" t="str">
        <f t="shared" si="30"/>
        <v>WIN</v>
      </c>
      <c r="I672" t="s">
        <v>17</v>
      </c>
      <c r="J672" t="s">
        <v>167</v>
      </c>
      <c r="K672" t="s">
        <v>193</v>
      </c>
    </row>
    <row r="673" spans="1:11" x14ac:dyDescent="0.3">
      <c r="A673" t="s">
        <v>21</v>
      </c>
      <c r="B673" t="s">
        <v>187</v>
      </c>
      <c r="C673" t="str">
        <f t="shared" si="31"/>
        <v>IPL-2018</v>
      </c>
      <c r="D673">
        <f t="shared" si="32"/>
        <v>2018</v>
      </c>
      <c r="E673" s="1">
        <v>43225</v>
      </c>
      <c r="F673" t="s">
        <v>21</v>
      </c>
      <c r="G673" t="s">
        <v>18</v>
      </c>
      <c r="H673" t="str">
        <f t="shared" si="30"/>
        <v>LOSS</v>
      </c>
      <c r="I673" t="s">
        <v>187</v>
      </c>
      <c r="J673" t="s">
        <v>251</v>
      </c>
      <c r="K673" t="s">
        <v>267</v>
      </c>
    </row>
    <row r="674" spans="1:11" x14ac:dyDescent="0.3">
      <c r="A674" t="s">
        <v>22</v>
      </c>
      <c r="B674" t="s">
        <v>16</v>
      </c>
      <c r="C674" t="str">
        <f t="shared" si="31"/>
        <v>IPL-2018</v>
      </c>
      <c r="D674">
        <f t="shared" si="32"/>
        <v>2018</v>
      </c>
      <c r="E674" s="1">
        <v>43226</v>
      </c>
      <c r="F674" t="s">
        <v>16</v>
      </c>
      <c r="G674" t="s">
        <v>12</v>
      </c>
      <c r="H674" t="str">
        <f t="shared" si="30"/>
        <v>WIN</v>
      </c>
      <c r="I674" t="s">
        <v>16</v>
      </c>
      <c r="J674" t="s">
        <v>276</v>
      </c>
      <c r="K674" t="s">
        <v>160</v>
      </c>
    </row>
    <row r="675" spans="1:11" x14ac:dyDescent="0.3">
      <c r="A675" t="s">
        <v>25</v>
      </c>
      <c r="B675" t="s">
        <v>11</v>
      </c>
      <c r="C675" t="str">
        <f t="shared" si="31"/>
        <v>IPL-2018</v>
      </c>
      <c r="D675">
        <f t="shared" si="32"/>
        <v>2018</v>
      </c>
      <c r="E675" s="1">
        <v>43226</v>
      </c>
      <c r="F675" t="s">
        <v>11</v>
      </c>
      <c r="G675" t="s">
        <v>12</v>
      </c>
      <c r="H675" t="str">
        <f t="shared" si="30"/>
        <v>LOSS</v>
      </c>
      <c r="I675" t="s">
        <v>25</v>
      </c>
      <c r="J675" t="s">
        <v>228</v>
      </c>
      <c r="K675" t="s">
        <v>27</v>
      </c>
    </row>
    <row r="676" spans="1:11" x14ac:dyDescent="0.3">
      <c r="A676" t="s">
        <v>187</v>
      </c>
      <c r="B676" t="s">
        <v>10</v>
      </c>
      <c r="C676" t="str">
        <f t="shared" si="31"/>
        <v>IPL-2018</v>
      </c>
      <c r="D676">
        <f t="shared" si="32"/>
        <v>2018</v>
      </c>
      <c r="E676" s="1">
        <v>43227</v>
      </c>
      <c r="F676" t="s">
        <v>10</v>
      </c>
      <c r="G676" t="s">
        <v>12</v>
      </c>
      <c r="H676" t="str">
        <f t="shared" si="30"/>
        <v>LOSS</v>
      </c>
      <c r="I676" t="s">
        <v>187</v>
      </c>
      <c r="J676" t="s">
        <v>256</v>
      </c>
      <c r="K676" t="s">
        <v>267</v>
      </c>
    </row>
    <row r="677" spans="1:11" x14ac:dyDescent="0.3">
      <c r="A677" t="s">
        <v>22</v>
      </c>
      <c r="B677" t="s">
        <v>16</v>
      </c>
      <c r="C677" t="str">
        <f t="shared" si="31"/>
        <v>IPL-2018</v>
      </c>
      <c r="D677">
        <f t="shared" si="32"/>
        <v>2018</v>
      </c>
      <c r="E677" s="1">
        <v>43228</v>
      </c>
      <c r="F677" t="s">
        <v>22</v>
      </c>
      <c r="G677" t="s">
        <v>18</v>
      </c>
      <c r="H677" t="str">
        <f t="shared" si="30"/>
        <v>WIN</v>
      </c>
      <c r="I677" t="s">
        <v>22</v>
      </c>
      <c r="J677" t="s">
        <v>257</v>
      </c>
      <c r="K677" t="s">
        <v>32</v>
      </c>
    </row>
    <row r="678" spans="1:11" x14ac:dyDescent="0.3">
      <c r="A678" t="s">
        <v>25</v>
      </c>
      <c r="B678" t="s">
        <v>11</v>
      </c>
      <c r="C678" t="str">
        <f t="shared" si="31"/>
        <v>IPL-2018</v>
      </c>
      <c r="D678">
        <f t="shared" si="32"/>
        <v>2018</v>
      </c>
      <c r="E678" s="1">
        <v>43229</v>
      </c>
      <c r="F678" t="s">
        <v>11</v>
      </c>
      <c r="G678" t="s">
        <v>12</v>
      </c>
      <c r="H678" t="str">
        <f t="shared" si="30"/>
        <v>LOSS</v>
      </c>
      <c r="I678" t="s">
        <v>25</v>
      </c>
      <c r="J678" t="s">
        <v>277</v>
      </c>
      <c r="K678" t="s">
        <v>30</v>
      </c>
    </row>
    <row r="679" spans="1:11" x14ac:dyDescent="0.3">
      <c r="A679" t="s">
        <v>21</v>
      </c>
      <c r="B679" t="s">
        <v>187</v>
      </c>
      <c r="C679" t="str">
        <f t="shared" si="31"/>
        <v>IPL-2018</v>
      </c>
      <c r="D679">
        <f t="shared" si="32"/>
        <v>2018</v>
      </c>
      <c r="E679" s="1">
        <v>43230</v>
      </c>
      <c r="F679" t="s">
        <v>21</v>
      </c>
      <c r="G679" t="s">
        <v>18</v>
      </c>
      <c r="H679" t="str">
        <f t="shared" si="30"/>
        <v>LOSS</v>
      </c>
      <c r="I679" t="s">
        <v>187</v>
      </c>
      <c r="J679" t="s">
        <v>162</v>
      </c>
      <c r="K679" t="s">
        <v>274</v>
      </c>
    </row>
    <row r="680" spans="1:11" x14ac:dyDescent="0.3">
      <c r="A680" t="s">
        <v>17</v>
      </c>
      <c r="B680" t="s">
        <v>22</v>
      </c>
      <c r="C680" t="str">
        <f t="shared" si="31"/>
        <v>IPL-2018</v>
      </c>
      <c r="D680">
        <f t="shared" si="32"/>
        <v>2018</v>
      </c>
      <c r="E680" s="1">
        <v>43231</v>
      </c>
      <c r="F680" t="s">
        <v>17</v>
      </c>
      <c r="G680" t="s">
        <v>18</v>
      </c>
      <c r="H680" t="str">
        <f t="shared" si="30"/>
        <v>LOSS</v>
      </c>
      <c r="I680" t="s">
        <v>22</v>
      </c>
      <c r="J680" t="s">
        <v>257</v>
      </c>
      <c r="K680" t="s">
        <v>32</v>
      </c>
    </row>
    <row r="681" spans="1:11" x14ac:dyDescent="0.3">
      <c r="A681" t="s">
        <v>21</v>
      </c>
      <c r="B681" t="s">
        <v>10</v>
      </c>
      <c r="C681" t="str">
        <f t="shared" si="31"/>
        <v>IPL-2018</v>
      </c>
      <c r="D681">
        <f t="shared" si="32"/>
        <v>2018</v>
      </c>
      <c r="E681" s="1">
        <v>43232</v>
      </c>
      <c r="F681" t="s">
        <v>10</v>
      </c>
      <c r="G681" t="s">
        <v>12</v>
      </c>
      <c r="H681" t="str">
        <f t="shared" si="30"/>
        <v>WIN</v>
      </c>
      <c r="I681" t="s">
        <v>10</v>
      </c>
      <c r="J681" t="s">
        <v>79</v>
      </c>
      <c r="K681" t="s">
        <v>274</v>
      </c>
    </row>
    <row r="682" spans="1:11" x14ac:dyDescent="0.3">
      <c r="A682" t="s">
        <v>11</v>
      </c>
      <c r="B682" t="s">
        <v>16</v>
      </c>
      <c r="C682" t="str">
        <f t="shared" si="31"/>
        <v>IPL-2018</v>
      </c>
      <c r="D682">
        <f t="shared" si="32"/>
        <v>2018</v>
      </c>
      <c r="E682" s="1">
        <v>43232</v>
      </c>
      <c r="F682" t="s">
        <v>16</v>
      </c>
      <c r="G682" t="s">
        <v>12</v>
      </c>
      <c r="H682" t="str">
        <f t="shared" si="30"/>
        <v>LOSS</v>
      </c>
      <c r="I682" t="s">
        <v>11</v>
      </c>
      <c r="J682" t="s">
        <v>176</v>
      </c>
      <c r="K682" t="s">
        <v>160</v>
      </c>
    </row>
    <row r="683" spans="1:11" x14ac:dyDescent="0.3">
      <c r="A683" t="s">
        <v>25</v>
      </c>
      <c r="B683" t="s">
        <v>22</v>
      </c>
      <c r="C683" t="str">
        <f t="shared" si="31"/>
        <v>IPL-2018</v>
      </c>
      <c r="D683">
        <f t="shared" si="32"/>
        <v>2018</v>
      </c>
      <c r="E683" s="1">
        <v>43233</v>
      </c>
      <c r="F683" t="s">
        <v>22</v>
      </c>
      <c r="G683" t="s">
        <v>12</v>
      </c>
      <c r="H683" t="str">
        <f t="shared" si="30"/>
        <v>WIN</v>
      </c>
      <c r="I683" t="s">
        <v>22</v>
      </c>
      <c r="J683" t="s">
        <v>257</v>
      </c>
      <c r="K683" t="s">
        <v>27</v>
      </c>
    </row>
    <row r="684" spans="1:11" x14ac:dyDescent="0.3">
      <c r="A684" t="s">
        <v>187</v>
      </c>
      <c r="B684" t="s">
        <v>17</v>
      </c>
      <c r="C684" t="str">
        <f t="shared" si="31"/>
        <v>IPL-2018</v>
      </c>
      <c r="D684">
        <f t="shared" si="32"/>
        <v>2018</v>
      </c>
      <c r="E684" s="1">
        <v>43233</v>
      </c>
      <c r="F684" t="s">
        <v>17</v>
      </c>
      <c r="G684" t="s">
        <v>12</v>
      </c>
      <c r="H684" t="str">
        <f t="shared" si="30"/>
        <v>WIN</v>
      </c>
      <c r="I684" t="s">
        <v>17</v>
      </c>
      <c r="J684" t="s">
        <v>125</v>
      </c>
      <c r="K684" t="s">
        <v>193</v>
      </c>
    </row>
    <row r="685" spans="1:11" x14ac:dyDescent="0.3">
      <c r="A685" t="s">
        <v>16</v>
      </c>
      <c r="B685" t="s">
        <v>10</v>
      </c>
      <c r="C685" t="str">
        <f t="shared" si="31"/>
        <v>IPL-2018</v>
      </c>
      <c r="D685">
        <f t="shared" si="32"/>
        <v>2018</v>
      </c>
      <c r="E685" s="1">
        <v>43234</v>
      </c>
      <c r="F685" t="s">
        <v>10</v>
      </c>
      <c r="G685" t="s">
        <v>12</v>
      </c>
      <c r="H685" t="str">
        <f t="shared" si="30"/>
        <v>WIN</v>
      </c>
      <c r="I685" t="s">
        <v>10</v>
      </c>
      <c r="J685" t="s">
        <v>185</v>
      </c>
      <c r="K685" t="s">
        <v>160</v>
      </c>
    </row>
    <row r="686" spans="1:11" x14ac:dyDescent="0.3">
      <c r="A686" t="s">
        <v>22</v>
      </c>
      <c r="B686" t="s">
        <v>11</v>
      </c>
      <c r="C686" t="str">
        <f t="shared" si="31"/>
        <v>IPL-2018</v>
      </c>
      <c r="D686">
        <f t="shared" si="32"/>
        <v>2018</v>
      </c>
      <c r="E686" s="1">
        <v>43235</v>
      </c>
      <c r="F686" t="s">
        <v>11</v>
      </c>
      <c r="G686" t="s">
        <v>12</v>
      </c>
      <c r="H686" t="str">
        <f t="shared" si="30"/>
        <v>WIN</v>
      </c>
      <c r="I686" t="s">
        <v>11</v>
      </c>
      <c r="J686" t="s">
        <v>278</v>
      </c>
      <c r="K686" t="s">
        <v>30</v>
      </c>
    </row>
    <row r="687" spans="1:11" x14ac:dyDescent="0.3">
      <c r="A687" t="s">
        <v>25</v>
      </c>
      <c r="B687" t="s">
        <v>16</v>
      </c>
      <c r="C687" t="str">
        <f t="shared" si="31"/>
        <v>IPL-2018</v>
      </c>
      <c r="D687">
        <f t="shared" si="32"/>
        <v>2018</v>
      </c>
      <c r="E687" s="1">
        <v>43236</v>
      </c>
      <c r="F687" t="s">
        <v>16</v>
      </c>
      <c r="G687" t="s">
        <v>12</v>
      </c>
      <c r="H687" t="str">
        <f t="shared" si="30"/>
        <v>LOSS</v>
      </c>
      <c r="I687" t="s">
        <v>25</v>
      </c>
      <c r="J687" t="s">
        <v>253</v>
      </c>
      <c r="K687" t="s">
        <v>27</v>
      </c>
    </row>
    <row r="688" spans="1:11" x14ac:dyDescent="0.3">
      <c r="A688" t="s">
        <v>10</v>
      </c>
      <c r="B688" t="s">
        <v>187</v>
      </c>
      <c r="C688" t="str">
        <f t="shared" si="31"/>
        <v>IPL-2018</v>
      </c>
      <c r="D688">
        <f t="shared" si="32"/>
        <v>2018</v>
      </c>
      <c r="E688" s="1">
        <v>43237</v>
      </c>
      <c r="F688" t="s">
        <v>187</v>
      </c>
      <c r="G688" t="s">
        <v>12</v>
      </c>
      <c r="H688" t="str">
        <f t="shared" si="30"/>
        <v>LOSS</v>
      </c>
      <c r="I688" t="s">
        <v>10</v>
      </c>
      <c r="J688" t="s">
        <v>79</v>
      </c>
      <c r="K688" t="s">
        <v>250</v>
      </c>
    </row>
    <row r="689" spans="1:11" x14ac:dyDescent="0.3">
      <c r="A689" t="s">
        <v>21</v>
      </c>
      <c r="B689" t="s">
        <v>17</v>
      </c>
      <c r="C689" t="str">
        <f t="shared" si="31"/>
        <v>IPL-2018</v>
      </c>
      <c r="D689">
        <f t="shared" si="32"/>
        <v>2018</v>
      </c>
      <c r="E689" s="1">
        <v>43238</v>
      </c>
      <c r="F689" t="s">
        <v>17</v>
      </c>
      <c r="G689" t="s">
        <v>12</v>
      </c>
      <c r="H689" t="str">
        <f t="shared" si="30"/>
        <v>LOSS</v>
      </c>
      <c r="I689" t="s">
        <v>21</v>
      </c>
      <c r="J689" t="s">
        <v>262</v>
      </c>
      <c r="K689" t="s">
        <v>274</v>
      </c>
    </row>
    <row r="690" spans="1:11" x14ac:dyDescent="0.3">
      <c r="A690" t="s">
        <v>22</v>
      </c>
      <c r="B690" t="s">
        <v>10</v>
      </c>
      <c r="C690" t="str">
        <f t="shared" si="31"/>
        <v>IPL-2018</v>
      </c>
      <c r="D690">
        <f t="shared" si="32"/>
        <v>2018</v>
      </c>
      <c r="E690" s="1">
        <v>43239</v>
      </c>
      <c r="F690" t="s">
        <v>22</v>
      </c>
      <c r="G690" t="s">
        <v>18</v>
      </c>
      <c r="H690" t="str">
        <f t="shared" si="30"/>
        <v>WIN</v>
      </c>
      <c r="I690" t="s">
        <v>22</v>
      </c>
      <c r="J690" t="s">
        <v>279</v>
      </c>
      <c r="K690" t="s">
        <v>32</v>
      </c>
    </row>
    <row r="691" spans="1:11" x14ac:dyDescent="0.3">
      <c r="A691" t="s">
        <v>187</v>
      </c>
      <c r="B691" t="s">
        <v>11</v>
      </c>
      <c r="C691" t="str">
        <f t="shared" si="31"/>
        <v>IPL-2018</v>
      </c>
      <c r="D691">
        <f t="shared" si="32"/>
        <v>2018</v>
      </c>
      <c r="E691" s="1">
        <v>43239</v>
      </c>
      <c r="F691" t="s">
        <v>187</v>
      </c>
      <c r="G691" t="s">
        <v>18</v>
      </c>
      <c r="H691" t="str">
        <f t="shared" si="30"/>
        <v>LOSS</v>
      </c>
      <c r="I691" t="s">
        <v>11</v>
      </c>
      <c r="J691" t="s">
        <v>209</v>
      </c>
      <c r="K691" t="s">
        <v>267</v>
      </c>
    </row>
    <row r="692" spans="1:11" x14ac:dyDescent="0.3">
      <c r="A692" t="s">
        <v>16</v>
      </c>
      <c r="B692" t="s">
        <v>17</v>
      </c>
      <c r="C692" t="str">
        <f t="shared" si="31"/>
        <v>IPL-2018</v>
      </c>
      <c r="D692">
        <f t="shared" si="32"/>
        <v>2018</v>
      </c>
      <c r="E692" s="1">
        <v>43240</v>
      </c>
      <c r="F692" t="s">
        <v>17</v>
      </c>
      <c r="G692" t="s">
        <v>12</v>
      </c>
      <c r="H692" t="str">
        <f t="shared" si="30"/>
        <v>WIN</v>
      </c>
      <c r="I692" t="s">
        <v>17</v>
      </c>
      <c r="J692" t="s">
        <v>280</v>
      </c>
      <c r="K692" t="s">
        <v>193</v>
      </c>
    </row>
    <row r="693" spans="1:11" x14ac:dyDescent="0.3">
      <c r="A693" t="s">
        <v>21</v>
      </c>
      <c r="B693" t="s">
        <v>25</v>
      </c>
      <c r="C693" t="str">
        <f t="shared" si="31"/>
        <v>IPL-2018</v>
      </c>
      <c r="D693">
        <f t="shared" si="32"/>
        <v>2018</v>
      </c>
      <c r="E693" s="1">
        <v>43240</v>
      </c>
      <c r="F693" t="s">
        <v>21</v>
      </c>
      <c r="G693" t="s">
        <v>18</v>
      </c>
      <c r="H693" t="str">
        <f t="shared" si="30"/>
        <v>WIN</v>
      </c>
      <c r="I693" t="s">
        <v>21</v>
      </c>
      <c r="J693" t="s">
        <v>57</v>
      </c>
      <c r="K693" t="s">
        <v>274</v>
      </c>
    </row>
    <row r="694" spans="1:11" x14ac:dyDescent="0.3">
      <c r="A694" t="s">
        <v>187</v>
      </c>
      <c r="B694" t="s">
        <v>17</v>
      </c>
      <c r="C694" t="str">
        <f t="shared" si="31"/>
        <v>IPL-2018</v>
      </c>
      <c r="D694">
        <f t="shared" si="32"/>
        <v>2018</v>
      </c>
      <c r="E694" s="1">
        <v>43242</v>
      </c>
      <c r="F694" t="s">
        <v>17</v>
      </c>
      <c r="G694" t="s">
        <v>12</v>
      </c>
      <c r="H694" t="str">
        <f t="shared" si="30"/>
        <v>WIN</v>
      </c>
      <c r="I694" t="s">
        <v>17</v>
      </c>
      <c r="J694" t="s">
        <v>172</v>
      </c>
      <c r="K694" t="s">
        <v>27</v>
      </c>
    </row>
    <row r="695" spans="1:11" x14ac:dyDescent="0.3">
      <c r="A695" t="s">
        <v>11</v>
      </c>
      <c r="B695" t="s">
        <v>22</v>
      </c>
      <c r="C695" t="str">
        <f t="shared" si="31"/>
        <v>IPL-2018</v>
      </c>
      <c r="D695">
        <f t="shared" si="32"/>
        <v>2018</v>
      </c>
      <c r="E695" s="1">
        <v>43243</v>
      </c>
      <c r="F695" t="s">
        <v>22</v>
      </c>
      <c r="G695" t="s">
        <v>12</v>
      </c>
      <c r="H695" t="str">
        <f t="shared" si="30"/>
        <v>LOSS</v>
      </c>
      <c r="I695" t="s">
        <v>11</v>
      </c>
      <c r="J695" t="s">
        <v>221</v>
      </c>
      <c r="K695" t="s">
        <v>30</v>
      </c>
    </row>
    <row r="696" spans="1:11" x14ac:dyDescent="0.3">
      <c r="A696" t="s">
        <v>187</v>
      </c>
      <c r="B696" t="s">
        <v>11</v>
      </c>
      <c r="C696" t="str">
        <f t="shared" si="31"/>
        <v>IPL-2018</v>
      </c>
      <c r="D696">
        <f t="shared" si="32"/>
        <v>2018</v>
      </c>
      <c r="E696" s="1">
        <v>43245</v>
      </c>
      <c r="F696" t="s">
        <v>11</v>
      </c>
      <c r="G696" t="s">
        <v>12</v>
      </c>
      <c r="H696" t="str">
        <f t="shared" si="30"/>
        <v>LOSS</v>
      </c>
      <c r="I696" t="s">
        <v>187</v>
      </c>
      <c r="J696" t="s">
        <v>251</v>
      </c>
      <c r="K696" t="s">
        <v>30</v>
      </c>
    </row>
    <row r="697" spans="1:11" x14ac:dyDescent="0.3">
      <c r="A697" t="s">
        <v>187</v>
      </c>
      <c r="B697" t="s">
        <v>17</v>
      </c>
      <c r="C697" t="str">
        <f t="shared" si="31"/>
        <v>IPL-2018</v>
      </c>
      <c r="D697">
        <f t="shared" si="32"/>
        <v>2018</v>
      </c>
      <c r="E697" s="1">
        <v>43247</v>
      </c>
      <c r="F697" t="s">
        <v>17</v>
      </c>
      <c r="G697" t="s">
        <v>12</v>
      </c>
      <c r="H697" t="str">
        <f t="shared" si="30"/>
        <v>WIN</v>
      </c>
      <c r="I697" t="s">
        <v>17</v>
      </c>
      <c r="J697" t="s">
        <v>31</v>
      </c>
      <c r="K697" t="s">
        <v>27</v>
      </c>
    </row>
    <row r="698" spans="1:11" x14ac:dyDescent="0.3">
      <c r="A698" t="s">
        <v>10</v>
      </c>
      <c r="B698" t="s">
        <v>17</v>
      </c>
      <c r="C698" t="str">
        <f t="shared" si="31"/>
        <v>IPL-2019</v>
      </c>
      <c r="D698">
        <f t="shared" si="32"/>
        <v>2019</v>
      </c>
      <c r="E698" s="1">
        <v>43547</v>
      </c>
      <c r="F698" t="s">
        <v>17</v>
      </c>
      <c r="G698" t="s">
        <v>12</v>
      </c>
      <c r="H698" t="str">
        <f t="shared" si="30"/>
        <v>WIN</v>
      </c>
      <c r="I698" t="s">
        <v>17</v>
      </c>
      <c r="J698" t="s">
        <v>99</v>
      </c>
      <c r="K698" t="s">
        <v>269</v>
      </c>
    </row>
    <row r="699" spans="1:11" x14ac:dyDescent="0.3">
      <c r="A699" t="s">
        <v>187</v>
      </c>
      <c r="B699" t="s">
        <v>11</v>
      </c>
      <c r="C699" t="str">
        <f t="shared" si="31"/>
        <v>IPL-2019</v>
      </c>
      <c r="D699">
        <f t="shared" si="32"/>
        <v>2019</v>
      </c>
      <c r="E699" s="1">
        <v>43548</v>
      </c>
      <c r="F699" t="s">
        <v>11</v>
      </c>
      <c r="G699" t="s">
        <v>12</v>
      </c>
      <c r="H699" t="str">
        <f t="shared" si="30"/>
        <v>WIN</v>
      </c>
      <c r="I699" t="s">
        <v>11</v>
      </c>
      <c r="J699" t="s">
        <v>221</v>
      </c>
      <c r="K699" t="s">
        <v>30</v>
      </c>
    </row>
    <row r="700" spans="1:11" x14ac:dyDescent="0.3">
      <c r="A700" t="s">
        <v>281</v>
      </c>
      <c r="B700" t="s">
        <v>25</v>
      </c>
      <c r="C700" t="str">
        <f t="shared" si="31"/>
        <v>IPL-2019</v>
      </c>
      <c r="D700">
        <f t="shared" si="32"/>
        <v>2019</v>
      </c>
      <c r="E700" s="1">
        <v>43548</v>
      </c>
      <c r="F700" t="s">
        <v>25</v>
      </c>
      <c r="G700" t="s">
        <v>12</v>
      </c>
      <c r="H700" t="str">
        <f t="shared" si="30"/>
        <v>LOSS</v>
      </c>
      <c r="I700" t="s">
        <v>281</v>
      </c>
      <c r="J700" t="s">
        <v>242</v>
      </c>
      <c r="K700" t="s">
        <v>27</v>
      </c>
    </row>
    <row r="701" spans="1:11" x14ac:dyDescent="0.3">
      <c r="A701" t="s">
        <v>16</v>
      </c>
      <c r="B701" t="s">
        <v>22</v>
      </c>
      <c r="C701" t="str">
        <f t="shared" si="31"/>
        <v>IPL-2019</v>
      </c>
      <c r="D701">
        <f t="shared" si="32"/>
        <v>2019</v>
      </c>
      <c r="E701" s="1">
        <v>43549</v>
      </c>
      <c r="F701" t="s">
        <v>22</v>
      </c>
      <c r="G701" t="s">
        <v>12</v>
      </c>
      <c r="H701" t="str">
        <f t="shared" si="30"/>
        <v>LOSS</v>
      </c>
      <c r="I701" t="s">
        <v>16</v>
      </c>
      <c r="J701" t="s">
        <v>77</v>
      </c>
      <c r="K701" t="s">
        <v>32</v>
      </c>
    </row>
    <row r="702" spans="1:11" x14ac:dyDescent="0.3">
      <c r="A702" t="s">
        <v>281</v>
      </c>
      <c r="B702" t="s">
        <v>17</v>
      </c>
      <c r="C702" t="str">
        <f t="shared" si="31"/>
        <v>IPL-2019</v>
      </c>
      <c r="D702">
        <f t="shared" si="32"/>
        <v>2019</v>
      </c>
      <c r="E702" s="1">
        <v>43550</v>
      </c>
      <c r="F702" t="s">
        <v>281</v>
      </c>
      <c r="G702" t="s">
        <v>18</v>
      </c>
      <c r="H702" t="str">
        <f t="shared" si="30"/>
        <v>LOSS</v>
      </c>
      <c r="I702" t="s">
        <v>17</v>
      </c>
      <c r="J702" t="s">
        <v>31</v>
      </c>
      <c r="K702" t="s">
        <v>274</v>
      </c>
    </row>
    <row r="703" spans="1:11" x14ac:dyDescent="0.3">
      <c r="A703" t="s">
        <v>11</v>
      </c>
      <c r="B703" t="s">
        <v>16</v>
      </c>
      <c r="C703" t="str">
        <f t="shared" si="31"/>
        <v>IPL-2019</v>
      </c>
      <c r="D703">
        <f t="shared" si="32"/>
        <v>2019</v>
      </c>
      <c r="E703" s="1">
        <v>43551</v>
      </c>
      <c r="F703" t="s">
        <v>16</v>
      </c>
      <c r="G703" t="s">
        <v>12</v>
      </c>
      <c r="H703" t="str">
        <f t="shared" si="30"/>
        <v>LOSS</v>
      </c>
      <c r="I703" t="s">
        <v>11</v>
      </c>
      <c r="J703" t="s">
        <v>221</v>
      </c>
      <c r="K703" t="s">
        <v>30</v>
      </c>
    </row>
    <row r="704" spans="1:11" x14ac:dyDescent="0.3">
      <c r="A704" t="s">
        <v>25</v>
      </c>
      <c r="B704" t="s">
        <v>10</v>
      </c>
      <c r="C704" t="str">
        <f t="shared" si="31"/>
        <v>IPL-2019</v>
      </c>
      <c r="D704">
        <f t="shared" si="32"/>
        <v>2019</v>
      </c>
      <c r="E704" s="1">
        <v>43552</v>
      </c>
      <c r="F704" t="s">
        <v>10</v>
      </c>
      <c r="G704" t="s">
        <v>12</v>
      </c>
      <c r="H704" t="str">
        <f t="shared" si="30"/>
        <v>LOSS</v>
      </c>
      <c r="I704" t="s">
        <v>25</v>
      </c>
      <c r="J704" t="s">
        <v>253</v>
      </c>
      <c r="K704" t="s">
        <v>250</v>
      </c>
    </row>
    <row r="705" spans="1:11" x14ac:dyDescent="0.3">
      <c r="A705" t="s">
        <v>22</v>
      </c>
      <c r="B705" t="s">
        <v>187</v>
      </c>
      <c r="C705" t="str">
        <f t="shared" si="31"/>
        <v>IPL-2019</v>
      </c>
      <c r="D705">
        <f t="shared" si="32"/>
        <v>2019</v>
      </c>
      <c r="E705" s="1">
        <v>43553</v>
      </c>
      <c r="F705" t="s">
        <v>22</v>
      </c>
      <c r="G705" t="s">
        <v>18</v>
      </c>
      <c r="H705" t="str">
        <f t="shared" si="30"/>
        <v>LOSS</v>
      </c>
      <c r="I705" t="s">
        <v>187</v>
      </c>
      <c r="J705" t="s">
        <v>251</v>
      </c>
      <c r="K705" t="s">
        <v>267</v>
      </c>
    </row>
    <row r="706" spans="1:11" x14ac:dyDescent="0.3">
      <c r="A706" t="s">
        <v>11</v>
      </c>
      <c r="B706" t="s">
        <v>281</v>
      </c>
      <c r="C706" t="str">
        <f t="shared" si="31"/>
        <v>IPL-2019</v>
      </c>
      <c r="D706">
        <f t="shared" si="32"/>
        <v>2019</v>
      </c>
      <c r="E706" s="1">
        <v>43554</v>
      </c>
      <c r="F706" t="s">
        <v>281</v>
      </c>
      <c r="G706" t="s">
        <v>12</v>
      </c>
      <c r="H706" t="str">
        <f t="shared" ref="H706:H769" si="33">IF(F706=I706,"WIN","LOSS")</f>
        <v>LOSS</v>
      </c>
      <c r="J706" t="s">
        <v>282</v>
      </c>
      <c r="K706" t="s">
        <v>274</v>
      </c>
    </row>
    <row r="707" spans="1:11" x14ac:dyDescent="0.3">
      <c r="A707" t="s">
        <v>25</v>
      </c>
      <c r="B707" t="s">
        <v>16</v>
      </c>
      <c r="C707" t="str">
        <f t="shared" ref="C707:C770" si="34">_xlfn.CONCAT("IPL-",D707)</f>
        <v>IPL-2019</v>
      </c>
      <c r="D707">
        <f t="shared" ref="D707:D770" si="35">YEAR(E707)</f>
        <v>2019</v>
      </c>
      <c r="E707" s="1">
        <v>43554</v>
      </c>
      <c r="F707" t="s">
        <v>16</v>
      </c>
      <c r="G707" t="s">
        <v>12</v>
      </c>
      <c r="H707" t="str">
        <f t="shared" si="33"/>
        <v>WIN</v>
      </c>
      <c r="I707" t="s">
        <v>16</v>
      </c>
      <c r="J707" t="s">
        <v>220</v>
      </c>
      <c r="K707" t="s">
        <v>266</v>
      </c>
    </row>
    <row r="708" spans="1:11" x14ac:dyDescent="0.3">
      <c r="A708" t="s">
        <v>17</v>
      </c>
      <c r="B708" t="s">
        <v>22</v>
      </c>
      <c r="C708" t="str">
        <f t="shared" si="34"/>
        <v>IPL-2019</v>
      </c>
      <c r="D708">
        <f t="shared" si="35"/>
        <v>2019</v>
      </c>
      <c r="E708" s="1">
        <v>43555</v>
      </c>
      <c r="F708" t="s">
        <v>22</v>
      </c>
      <c r="G708" t="s">
        <v>12</v>
      </c>
      <c r="H708" t="str">
        <f t="shared" si="33"/>
        <v>LOSS</v>
      </c>
      <c r="I708" t="s">
        <v>17</v>
      </c>
      <c r="J708" t="s">
        <v>43</v>
      </c>
      <c r="K708" t="s">
        <v>269</v>
      </c>
    </row>
    <row r="709" spans="1:11" x14ac:dyDescent="0.3">
      <c r="A709" t="s">
        <v>187</v>
      </c>
      <c r="B709" t="s">
        <v>10</v>
      </c>
      <c r="C709" t="str">
        <f t="shared" si="34"/>
        <v>IPL-2019</v>
      </c>
      <c r="D709">
        <f t="shared" si="35"/>
        <v>2019</v>
      </c>
      <c r="E709" s="1">
        <v>43555</v>
      </c>
      <c r="F709" t="s">
        <v>10</v>
      </c>
      <c r="G709" t="s">
        <v>12</v>
      </c>
      <c r="H709" t="str">
        <f t="shared" si="33"/>
        <v>LOSS</v>
      </c>
      <c r="I709" t="s">
        <v>187</v>
      </c>
      <c r="J709" t="s">
        <v>283</v>
      </c>
      <c r="K709" t="s">
        <v>267</v>
      </c>
    </row>
    <row r="710" spans="1:11" x14ac:dyDescent="0.3">
      <c r="A710" t="s">
        <v>16</v>
      </c>
      <c r="B710" t="s">
        <v>281</v>
      </c>
      <c r="C710" t="str">
        <f t="shared" si="34"/>
        <v>IPL-2019</v>
      </c>
      <c r="D710">
        <f t="shared" si="35"/>
        <v>2019</v>
      </c>
      <c r="E710" s="1">
        <v>43556</v>
      </c>
      <c r="F710" t="s">
        <v>281</v>
      </c>
      <c r="G710" t="s">
        <v>12</v>
      </c>
      <c r="H710" t="str">
        <f t="shared" si="33"/>
        <v>LOSS</v>
      </c>
      <c r="I710" t="s">
        <v>16</v>
      </c>
      <c r="J710" t="s">
        <v>284</v>
      </c>
      <c r="K710" t="s">
        <v>266</v>
      </c>
    </row>
    <row r="711" spans="1:11" x14ac:dyDescent="0.3">
      <c r="A711" t="s">
        <v>10</v>
      </c>
      <c r="B711" t="s">
        <v>22</v>
      </c>
      <c r="C711" t="str">
        <f t="shared" si="34"/>
        <v>IPL-2019</v>
      </c>
      <c r="D711">
        <f t="shared" si="35"/>
        <v>2019</v>
      </c>
      <c r="E711" s="1">
        <v>43557</v>
      </c>
      <c r="F711" t="s">
        <v>22</v>
      </c>
      <c r="G711" t="s">
        <v>12</v>
      </c>
      <c r="H711" t="str">
        <f t="shared" si="33"/>
        <v>WIN</v>
      </c>
      <c r="I711" t="s">
        <v>22</v>
      </c>
      <c r="J711" t="s">
        <v>279</v>
      </c>
      <c r="K711" t="s">
        <v>32</v>
      </c>
    </row>
    <row r="712" spans="1:11" x14ac:dyDescent="0.3">
      <c r="A712" t="s">
        <v>25</v>
      </c>
      <c r="B712" t="s">
        <v>17</v>
      </c>
      <c r="C712" t="str">
        <f t="shared" si="34"/>
        <v>IPL-2019</v>
      </c>
      <c r="D712">
        <f t="shared" si="35"/>
        <v>2019</v>
      </c>
      <c r="E712" s="1">
        <v>43558</v>
      </c>
      <c r="F712" t="s">
        <v>17</v>
      </c>
      <c r="G712" t="s">
        <v>12</v>
      </c>
      <c r="H712" t="str">
        <f t="shared" si="33"/>
        <v>LOSS</v>
      </c>
      <c r="I712" t="s">
        <v>25</v>
      </c>
      <c r="J712" t="s">
        <v>228</v>
      </c>
      <c r="K712" t="s">
        <v>27</v>
      </c>
    </row>
    <row r="713" spans="1:11" x14ac:dyDescent="0.3">
      <c r="A713" t="s">
        <v>281</v>
      </c>
      <c r="B713" t="s">
        <v>187</v>
      </c>
      <c r="C713" t="str">
        <f t="shared" si="34"/>
        <v>IPL-2019</v>
      </c>
      <c r="D713">
        <f t="shared" si="35"/>
        <v>2019</v>
      </c>
      <c r="E713" s="1">
        <v>43559</v>
      </c>
      <c r="F713" t="s">
        <v>187</v>
      </c>
      <c r="G713" t="s">
        <v>12</v>
      </c>
      <c r="H713" t="str">
        <f t="shared" si="33"/>
        <v>WIN</v>
      </c>
      <c r="I713" t="s">
        <v>187</v>
      </c>
      <c r="J713" t="s">
        <v>283</v>
      </c>
      <c r="K713" t="s">
        <v>274</v>
      </c>
    </row>
    <row r="714" spans="1:11" x14ac:dyDescent="0.3">
      <c r="A714" t="s">
        <v>10</v>
      </c>
      <c r="B714" t="s">
        <v>11</v>
      </c>
      <c r="C714" t="str">
        <f t="shared" si="34"/>
        <v>IPL-2019</v>
      </c>
      <c r="D714">
        <f t="shared" si="35"/>
        <v>2019</v>
      </c>
      <c r="E714" s="1">
        <v>43560</v>
      </c>
      <c r="F714" t="s">
        <v>11</v>
      </c>
      <c r="G714" t="s">
        <v>12</v>
      </c>
      <c r="H714" t="str">
        <f t="shared" si="33"/>
        <v>WIN</v>
      </c>
      <c r="I714" t="s">
        <v>11</v>
      </c>
      <c r="J714" t="s">
        <v>221</v>
      </c>
      <c r="K714" t="s">
        <v>250</v>
      </c>
    </row>
    <row r="715" spans="1:11" x14ac:dyDescent="0.3">
      <c r="A715" t="s">
        <v>25</v>
      </c>
      <c r="B715" t="s">
        <v>187</v>
      </c>
      <c r="C715" t="str">
        <f t="shared" si="34"/>
        <v>IPL-2019</v>
      </c>
      <c r="D715">
        <f t="shared" si="35"/>
        <v>2019</v>
      </c>
      <c r="E715" s="1">
        <v>43561</v>
      </c>
      <c r="F715" t="s">
        <v>187</v>
      </c>
      <c r="G715" t="s">
        <v>12</v>
      </c>
      <c r="H715" t="str">
        <f t="shared" si="33"/>
        <v>LOSS</v>
      </c>
      <c r="I715" t="s">
        <v>25</v>
      </c>
      <c r="J715" t="s">
        <v>285</v>
      </c>
      <c r="K715" t="s">
        <v>267</v>
      </c>
    </row>
    <row r="716" spans="1:11" x14ac:dyDescent="0.3">
      <c r="A716" t="s">
        <v>17</v>
      </c>
      <c r="B716" t="s">
        <v>16</v>
      </c>
      <c r="C716" t="str">
        <f t="shared" si="34"/>
        <v>IPL-2019</v>
      </c>
      <c r="D716">
        <f t="shared" si="35"/>
        <v>2019</v>
      </c>
      <c r="E716" s="1">
        <v>43561</v>
      </c>
      <c r="F716" t="s">
        <v>17</v>
      </c>
      <c r="G716" t="s">
        <v>18</v>
      </c>
      <c r="H716" t="str">
        <f t="shared" si="33"/>
        <v>WIN</v>
      </c>
      <c r="I716" t="s">
        <v>17</v>
      </c>
      <c r="J716" t="s">
        <v>99</v>
      </c>
      <c r="K716" t="s">
        <v>269</v>
      </c>
    </row>
    <row r="717" spans="1:11" x14ac:dyDescent="0.3">
      <c r="A717" t="s">
        <v>10</v>
      </c>
      <c r="B717" t="s">
        <v>281</v>
      </c>
      <c r="C717" t="str">
        <f t="shared" si="34"/>
        <v>IPL-2019</v>
      </c>
      <c r="D717">
        <f t="shared" si="35"/>
        <v>2019</v>
      </c>
      <c r="E717" s="1">
        <v>43562</v>
      </c>
      <c r="F717" t="s">
        <v>281</v>
      </c>
      <c r="G717" t="s">
        <v>12</v>
      </c>
      <c r="H717" t="str">
        <f t="shared" si="33"/>
        <v>WIN</v>
      </c>
      <c r="I717" t="s">
        <v>281</v>
      </c>
      <c r="J717" t="s">
        <v>286</v>
      </c>
      <c r="K717" t="s">
        <v>250</v>
      </c>
    </row>
    <row r="718" spans="1:11" x14ac:dyDescent="0.3">
      <c r="A718" t="s">
        <v>22</v>
      </c>
      <c r="B718" t="s">
        <v>11</v>
      </c>
      <c r="C718" t="str">
        <f t="shared" si="34"/>
        <v>IPL-2019</v>
      </c>
      <c r="D718">
        <f t="shared" si="35"/>
        <v>2019</v>
      </c>
      <c r="E718" s="1">
        <v>43562</v>
      </c>
      <c r="F718" t="s">
        <v>11</v>
      </c>
      <c r="G718" t="s">
        <v>12</v>
      </c>
      <c r="H718" t="str">
        <f t="shared" si="33"/>
        <v>WIN</v>
      </c>
      <c r="I718" t="s">
        <v>11</v>
      </c>
      <c r="J718" t="s">
        <v>287</v>
      </c>
      <c r="K718" t="s">
        <v>32</v>
      </c>
    </row>
    <row r="719" spans="1:11" x14ac:dyDescent="0.3">
      <c r="A719" t="s">
        <v>187</v>
      </c>
      <c r="B719" t="s">
        <v>16</v>
      </c>
      <c r="C719" t="str">
        <f t="shared" si="34"/>
        <v>IPL-2019</v>
      </c>
      <c r="D719">
        <f t="shared" si="35"/>
        <v>2019</v>
      </c>
      <c r="E719" s="1">
        <v>43563</v>
      </c>
      <c r="F719" t="s">
        <v>16</v>
      </c>
      <c r="G719" t="s">
        <v>12</v>
      </c>
      <c r="H719" t="str">
        <f t="shared" si="33"/>
        <v>WIN</v>
      </c>
      <c r="I719" t="s">
        <v>16</v>
      </c>
      <c r="J719" t="s">
        <v>265</v>
      </c>
      <c r="K719" t="s">
        <v>266</v>
      </c>
    </row>
    <row r="720" spans="1:11" x14ac:dyDescent="0.3">
      <c r="A720" t="s">
        <v>11</v>
      </c>
      <c r="B720" t="s">
        <v>17</v>
      </c>
      <c r="C720" t="str">
        <f t="shared" si="34"/>
        <v>IPL-2019</v>
      </c>
      <c r="D720">
        <f t="shared" si="35"/>
        <v>2019</v>
      </c>
      <c r="E720" s="1">
        <v>43564</v>
      </c>
      <c r="F720" t="s">
        <v>17</v>
      </c>
      <c r="G720" t="s">
        <v>12</v>
      </c>
      <c r="H720" t="str">
        <f t="shared" si="33"/>
        <v>WIN</v>
      </c>
      <c r="I720" t="s">
        <v>17</v>
      </c>
      <c r="J720" t="s">
        <v>288</v>
      </c>
      <c r="K720" t="s">
        <v>269</v>
      </c>
    </row>
    <row r="721" spans="1:11" x14ac:dyDescent="0.3">
      <c r="A721" t="s">
        <v>16</v>
      </c>
      <c r="B721" t="s">
        <v>25</v>
      </c>
      <c r="C721" t="str">
        <f t="shared" si="34"/>
        <v>IPL-2019</v>
      </c>
      <c r="D721">
        <f t="shared" si="35"/>
        <v>2019</v>
      </c>
      <c r="E721" s="1">
        <v>43565</v>
      </c>
      <c r="F721" t="s">
        <v>25</v>
      </c>
      <c r="G721" t="s">
        <v>12</v>
      </c>
      <c r="H721" t="str">
        <f t="shared" si="33"/>
        <v>WIN</v>
      </c>
      <c r="I721" t="s">
        <v>25</v>
      </c>
      <c r="J721" t="s">
        <v>134</v>
      </c>
      <c r="K721" t="s">
        <v>27</v>
      </c>
    </row>
    <row r="722" spans="1:11" x14ac:dyDescent="0.3">
      <c r="A722" t="s">
        <v>22</v>
      </c>
      <c r="B722" t="s">
        <v>17</v>
      </c>
      <c r="C722" t="str">
        <f t="shared" si="34"/>
        <v>IPL-2019</v>
      </c>
      <c r="D722">
        <f t="shared" si="35"/>
        <v>2019</v>
      </c>
      <c r="E722" s="1">
        <v>43566</v>
      </c>
      <c r="F722" t="s">
        <v>17</v>
      </c>
      <c r="G722" t="s">
        <v>12</v>
      </c>
      <c r="H722" t="str">
        <f t="shared" si="33"/>
        <v>WIN</v>
      </c>
      <c r="I722" t="s">
        <v>17</v>
      </c>
      <c r="J722" t="s">
        <v>43</v>
      </c>
      <c r="K722" t="s">
        <v>32</v>
      </c>
    </row>
    <row r="723" spans="1:11" x14ac:dyDescent="0.3">
      <c r="A723" t="s">
        <v>11</v>
      </c>
      <c r="B723" t="s">
        <v>281</v>
      </c>
      <c r="C723" t="str">
        <f t="shared" si="34"/>
        <v>IPL-2019</v>
      </c>
      <c r="D723">
        <f t="shared" si="35"/>
        <v>2019</v>
      </c>
      <c r="E723" s="1">
        <v>43567</v>
      </c>
      <c r="F723" t="s">
        <v>281</v>
      </c>
      <c r="G723" t="s">
        <v>12</v>
      </c>
      <c r="H723" t="str">
        <f t="shared" si="33"/>
        <v>WIN</v>
      </c>
      <c r="I723" t="s">
        <v>281</v>
      </c>
      <c r="J723" t="s">
        <v>162</v>
      </c>
      <c r="K723" t="s">
        <v>30</v>
      </c>
    </row>
    <row r="724" spans="1:11" x14ac:dyDescent="0.3">
      <c r="A724" t="s">
        <v>16</v>
      </c>
      <c r="B724" t="s">
        <v>10</v>
      </c>
      <c r="C724" t="str">
        <f t="shared" si="34"/>
        <v>IPL-2019</v>
      </c>
      <c r="D724">
        <f t="shared" si="35"/>
        <v>2019</v>
      </c>
      <c r="E724" s="1">
        <v>43568</v>
      </c>
      <c r="F724" t="s">
        <v>10</v>
      </c>
      <c r="G724" t="s">
        <v>12</v>
      </c>
      <c r="H724" t="str">
        <f t="shared" si="33"/>
        <v>WIN</v>
      </c>
      <c r="I724" t="s">
        <v>10</v>
      </c>
      <c r="J724" t="s">
        <v>79</v>
      </c>
      <c r="K724" t="s">
        <v>266</v>
      </c>
    </row>
    <row r="725" spans="1:11" x14ac:dyDescent="0.3">
      <c r="A725" t="s">
        <v>25</v>
      </c>
      <c r="B725" t="s">
        <v>22</v>
      </c>
      <c r="C725" t="str">
        <f t="shared" si="34"/>
        <v>IPL-2019</v>
      </c>
      <c r="D725">
        <f t="shared" si="35"/>
        <v>2019</v>
      </c>
      <c r="E725" s="1">
        <v>43568</v>
      </c>
      <c r="F725" t="s">
        <v>22</v>
      </c>
      <c r="G725" t="s">
        <v>12</v>
      </c>
      <c r="H725" t="str">
        <f t="shared" si="33"/>
        <v>WIN</v>
      </c>
      <c r="I725" t="s">
        <v>22</v>
      </c>
      <c r="J725" t="s">
        <v>257</v>
      </c>
      <c r="K725" t="s">
        <v>27</v>
      </c>
    </row>
    <row r="726" spans="1:11" x14ac:dyDescent="0.3">
      <c r="A726" t="s">
        <v>281</v>
      </c>
      <c r="B726" t="s">
        <v>187</v>
      </c>
      <c r="C726" t="str">
        <f t="shared" si="34"/>
        <v>IPL-2019</v>
      </c>
      <c r="D726">
        <f t="shared" si="35"/>
        <v>2019</v>
      </c>
      <c r="E726" s="1">
        <v>43569</v>
      </c>
      <c r="F726" t="s">
        <v>187</v>
      </c>
      <c r="G726" t="s">
        <v>12</v>
      </c>
      <c r="H726" t="str">
        <f t="shared" si="33"/>
        <v>LOSS</v>
      </c>
      <c r="I726" t="s">
        <v>281</v>
      </c>
      <c r="J726" t="s">
        <v>289</v>
      </c>
      <c r="K726" t="s">
        <v>267</v>
      </c>
    </row>
    <row r="727" spans="1:11" x14ac:dyDescent="0.3">
      <c r="A727" t="s">
        <v>11</v>
      </c>
      <c r="B727" t="s">
        <v>17</v>
      </c>
      <c r="C727" t="str">
        <f t="shared" si="34"/>
        <v>IPL-2019</v>
      </c>
      <c r="D727">
        <f t="shared" si="35"/>
        <v>2019</v>
      </c>
      <c r="E727" s="1">
        <v>43569</v>
      </c>
      <c r="F727" t="s">
        <v>17</v>
      </c>
      <c r="G727" t="s">
        <v>12</v>
      </c>
      <c r="H727" t="str">
        <f t="shared" si="33"/>
        <v>WIN</v>
      </c>
      <c r="I727" t="s">
        <v>17</v>
      </c>
      <c r="J727" t="s">
        <v>290</v>
      </c>
      <c r="K727" t="s">
        <v>30</v>
      </c>
    </row>
    <row r="728" spans="1:11" x14ac:dyDescent="0.3">
      <c r="A728" t="s">
        <v>10</v>
      </c>
      <c r="B728" t="s">
        <v>25</v>
      </c>
      <c r="C728" t="str">
        <f t="shared" si="34"/>
        <v>IPL-2019</v>
      </c>
      <c r="D728">
        <f t="shared" si="35"/>
        <v>2019</v>
      </c>
      <c r="E728" s="1">
        <v>43570</v>
      </c>
      <c r="F728" t="s">
        <v>25</v>
      </c>
      <c r="G728" t="s">
        <v>12</v>
      </c>
      <c r="H728" t="str">
        <f t="shared" si="33"/>
        <v>WIN</v>
      </c>
      <c r="I728" t="s">
        <v>25</v>
      </c>
      <c r="J728" t="s">
        <v>122</v>
      </c>
      <c r="K728" t="s">
        <v>27</v>
      </c>
    </row>
    <row r="729" spans="1:11" x14ac:dyDescent="0.3">
      <c r="A729" t="s">
        <v>16</v>
      </c>
      <c r="B729" t="s">
        <v>22</v>
      </c>
      <c r="C729" t="str">
        <f t="shared" si="34"/>
        <v>IPL-2019</v>
      </c>
      <c r="D729">
        <f t="shared" si="35"/>
        <v>2019</v>
      </c>
      <c r="E729" s="1">
        <v>43571</v>
      </c>
      <c r="F729" t="s">
        <v>22</v>
      </c>
      <c r="G729" t="s">
        <v>12</v>
      </c>
      <c r="H729" t="str">
        <f t="shared" si="33"/>
        <v>LOSS</v>
      </c>
      <c r="I729" t="s">
        <v>16</v>
      </c>
      <c r="J729" t="s">
        <v>133</v>
      </c>
      <c r="K729" t="s">
        <v>266</v>
      </c>
    </row>
    <row r="730" spans="1:11" x14ac:dyDescent="0.3">
      <c r="A730" t="s">
        <v>17</v>
      </c>
      <c r="B730" t="s">
        <v>187</v>
      </c>
      <c r="C730" t="str">
        <f t="shared" si="34"/>
        <v>IPL-2019</v>
      </c>
      <c r="D730">
        <f t="shared" si="35"/>
        <v>2019</v>
      </c>
      <c r="E730" s="1">
        <v>43572</v>
      </c>
      <c r="F730" t="s">
        <v>17</v>
      </c>
      <c r="G730" t="s">
        <v>18</v>
      </c>
      <c r="H730" t="str">
        <f t="shared" si="33"/>
        <v>LOSS</v>
      </c>
      <c r="I730" t="s">
        <v>187</v>
      </c>
      <c r="J730" t="s">
        <v>121</v>
      </c>
      <c r="K730" t="s">
        <v>267</v>
      </c>
    </row>
    <row r="731" spans="1:11" x14ac:dyDescent="0.3">
      <c r="A731" t="s">
        <v>25</v>
      </c>
      <c r="B731" t="s">
        <v>281</v>
      </c>
      <c r="C731" t="str">
        <f t="shared" si="34"/>
        <v>IPL-2019</v>
      </c>
      <c r="D731">
        <f t="shared" si="35"/>
        <v>2019</v>
      </c>
      <c r="E731" s="1">
        <v>43573</v>
      </c>
      <c r="F731" t="s">
        <v>25</v>
      </c>
      <c r="G731" t="s">
        <v>18</v>
      </c>
      <c r="H731" t="str">
        <f t="shared" si="33"/>
        <v>WIN</v>
      </c>
      <c r="I731" t="s">
        <v>25</v>
      </c>
      <c r="J731" t="s">
        <v>228</v>
      </c>
      <c r="K731" t="s">
        <v>274</v>
      </c>
    </row>
    <row r="732" spans="1:11" x14ac:dyDescent="0.3">
      <c r="A732" t="s">
        <v>10</v>
      </c>
      <c r="B732" t="s">
        <v>11</v>
      </c>
      <c r="C732" t="str">
        <f t="shared" si="34"/>
        <v>IPL-2019</v>
      </c>
      <c r="D732">
        <f t="shared" si="35"/>
        <v>2019</v>
      </c>
      <c r="E732" s="1">
        <v>43574</v>
      </c>
      <c r="F732" t="s">
        <v>11</v>
      </c>
      <c r="G732" t="s">
        <v>12</v>
      </c>
      <c r="H732" t="str">
        <f t="shared" si="33"/>
        <v>LOSS</v>
      </c>
      <c r="I732" t="s">
        <v>10</v>
      </c>
      <c r="J732" t="s">
        <v>151</v>
      </c>
      <c r="K732" t="s">
        <v>30</v>
      </c>
    </row>
    <row r="733" spans="1:11" x14ac:dyDescent="0.3">
      <c r="A733" t="s">
        <v>16</v>
      </c>
      <c r="B733" t="s">
        <v>281</v>
      </c>
      <c r="C733" t="str">
        <f t="shared" si="34"/>
        <v>IPL-2019</v>
      </c>
      <c r="D733">
        <f t="shared" si="35"/>
        <v>2019</v>
      </c>
      <c r="E733" s="1">
        <v>43575</v>
      </c>
      <c r="F733" t="s">
        <v>281</v>
      </c>
      <c r="G733" t="s">
        <v>12</v>
      </c>
      <c r="H733" t="str">
        <f t="shared" si="33"/>
        <v>WIN</v>
      </c>
      <c r="I733" t="s">
        <v>281</v>
      </c>
      <c r="J733" t="s">
        <v>222</v>
      </c>
      <c r="K733" t="s">
        <v>274</v>
      </c>
    </row>
    <row r="734" spans="1:11" x14ac:dyDescent="0.3">
      <c r="A734" t="s">
        <v>25</v>
      </c>
      <c r="B734" t="s">
        <v>22</v>
      </c>
      <c r="C734" t="str">
        <f t="shared" si="34"/>
        <v>IPL-2019</v>
      </c>
      <c r="D734">
        <f t="shared" si="35"/>
        <v>2019</v>
      </c>
      <c r="E734" s="1">
        <v>43575</v>
      </c>
      <c r="F734" t="s">
        <v>22</v>
      </c>
      <c r="G734" t="s">
        <v>12</v>
      </c>
      <c r="H734" t="str">
        <f t="shared" si="33"/>
        <v>WIN</v>
      </c>
      <c r="I734" t="s">
        <v>22</v>
      </c>
      <c r="J734" t="s">
        <v>165</v>
      </c>
      <c r="K734" t="s">
        <v>32</v>
      </c>
    </row>
    <row r="735" spans="1:11" x14ac:dyDescent="0.3">
      <c r="A735" t="s">
        <v>11</v>
      </c>
      <c r="B735" t="s">
        <v>187</v>
      </c>
      <c r="C735" t="str">
        <f t="shared" si="34"/>
        <v>IPL-2019</v>
      </c>
      <c r="D735">
        <f t="shared" si="35"/>
        <v>2019</v>
      </c>
      <c r="E735" s="1">
        <v>43576</v>
      </c>
      <c r="F735" t="s">
        <v>187</v>
      </c>
      <c r="G735" t="s">
        <v>12</v>
      </c>
      <c r="H735" t="str">
        <f t="shared" si="33"/>
        <v>WIN</v>
      </c>
      <c r="I735" t="s">
        <v>187</v>
      </c>
      <c r="J735" t="s">
        <v>291</v>
      </c>
      <c r="K735" t="s">
        <v>267</v>
      </c>
    </row>
    <row r="736" spans="1:11" x14ac:dyDescent="0.3">
      <c r="A736" t="s">
        <v>10</v>
      </c>
      <c r="B736" t="s">
        <v>17</v>
      </c>
      <c r="C736" t="str">
        <f t="shared" si="34"/>
        <v>IPL-2019</v>
      </c>
      <c r="D736">
        <f t="shared" si="35"/>
        <v>2019</v>
      </c>
      <c r="E736" s="1">
        <v>43576</v>
      </c>
      <c r="F736" t="s">
        <v>17</v>
      </c>
      <c r="G736" t="s">
        <v>12</v>
      </c>
      <c r="H736" t="str">
        <f t="shared" si="33"/>
        <v>LOSS</v>
      </c>
      <c r="I736" t="s">
        <v>10</v>
      </c>
      <c r="J736" t="s">
        <v>200</v>
      </c>
      <c r="K736" t="s">
        <v>250</v>
      </c>
    </row>
    <row r="737" spans="1:11" x14ac:dyDescent="0.3">
      <c r="A737" t="s">
        <v>22</v>
      </c>
      <c r="B737" t="s">
        <v>281</v>
      </c>
      <c r="C737" t="str">
        <f t="shared" si="34"/>
        <v>IPL-2019</v>
      </c>
      <c r="D737">
        <f t="shared" si="35"/>
        <v>2019</v>
      </c>
      <c r="E737" s="1">
        <v>43577</v>
      </c>
      <c r="F737" t="s">
        <v>281</v>
      </c>
      <c r="G737" t="s">
        <v>12</v>
      </c>
      <c r="H737" t="str">
        <f t="shared" si="33"/>
        <v>WIN</v>
      </c>
      <c r="I737" t="s">
        <v>281</v>
      </c>
      <c r="J737" t="s">
        <v>242</v>
      </c>
      <c r="K737" t="s">
        <v>32</v>
      </c>
    </row>
    <row r="738" spans="1:11" x14ac:dyDescent="0.3">
      <c r="A738" t="s">
        <v>187</v>
      </c>
      <c r="B738" t="s">
        <v>17</v>
      </c>
      <c r="C738" t="str">
        <f t="shared" si="34"/>
        <v>IPL-2019</v>
      </c>
      <c r="D738">
        <f t="shared" si="35"/>
        <v>2019</v>
      </c>
      <c r="E738" s="1">
        <v>43578</v>
      </c>
      <c r="F738" t="s">
        <v>17</v>
      </c>
      <c r="G738" t="s">
        <v>12</v>
      </c>
      <c r="H738" t="str">
        <f t="shared" si="33"/>
        <v>WIN</v>
      </c>
      <c r="I738" t="s">
        <v>17</v>
      </c>
      <c r="J738" t="s">
        <v>31</v>
      </c>
      <c r="K738" t="s">
        <v>269</v>
      </c>
    </row>
    <row r="739" spans="1:11" x14ac:dyDescent="0.3">
      <c r="A739" t="s">
        <v>10</v>
      </c>
      <c r="B739" t="s">
        <v>16</v>
      </c>
      <c r="C739" t="str">
        <f t="shared" si="34"/>
        <v>IPL-2019</v>
      </c>
      <c r="D739">
        <f t="shared" si="35"/>
        <v>2019</v>
      </c>
      <c r="E739" s="1">
        <v>43579</v>
      </c>
      <c r="F739" t="s">
        <v>16</v>
      </c>
      <c r="G739" t="s">
        <v>12</v>
      </c>
      <c r="H739" t="str">
        <f t="shared" si="33"/>
        <v>LOSS</v>
      </c>
      <c r="I739" t="s">
        <v>10</v>
      </c>
      <c r="J739" t="s">
        <v>79</v>
      </c>
      <c r="K739" t="s">
        <v>250</v>
      </c>
    </row>
    <row r="740" spans="1:11" x14ac:dyDescent="0.3">
      <c r="A740" t="s">
        <v>11</v>
      </c>
      <c r="B740" t="s">
        <v>22</v>
      </c>
      <c r="C740" t="str">
        <f t="shared" si="34"/>
        <v>IPL-2019</v>
      </c>
      <c r="D740">
        <f t="shared" si="35"/>
        <v>2019</v>
      </c>
      <c r="E740" s="1">
        <v>43580</v>
      </c>
      <c r="F740" t="s">
        <v>22</v>
      </c>
      <c r="G740" t="s">
        <v>12</v>
      </c>
      <c r="H740" t="str">
        <f t="shared" si="33"/>
        <v>WIN</v>
      </c>
      <c r="I740" t="s">
        <v>22</v>
      </c>
      <c r="J740" t="s">
        <v>224</v>
      </c>
      <c r="K740" t="s">
        <v>30</v>
      </c>
    </row>
    <row r="741" spans="1:11" x14ac:dyDescent="0.3">
      <c r="A741" t="s">
        <v>25</v>
      </c>
      <c r="B741" t="s">
        <v>17</v>
      </c>
      <c r="C741" t="str">
        <f t="shared" si="34"/>
        <v>IPL-2019</v>
      </c>
      <c r="D741">
        <f t="shared" si="35"/>
        <v>2019</v>
      </c>
      <c r="E741" s="1">
        <v>43581</v>
      </c>
      <c r="F741" t="s">
        <v>17</v>
      </c>
      <c r="G741" t="s">
        <v>12</v>
      </c>
      <c r="H741" t="str">
        <f t="shared" si="33"/>
        <v>LOSS</v>
      </c>
      <c r="I741" t="s">
        <v>25</v>
      </c>
      <c r="J741" t="s">
        <v>93</v>
      </c>
      <c r="K741" t="s">
        <v>269</v>
      </c>
    </row>
    <row r="742" spans="1:11" x14ac:dyDescent="0.3">
      <c r="A742" t="s">
        <v>187</v>
      </c>
      <c r="B742" t="s">
        <v>22</v>
      </c>
      <c r="C742" t="str">
        <f t="shared" si="34"/>
        <v>IPL-2019</v>
      </c>
      <c r="D742">
        <f t="shared" si="35"/>
        <v>2019</v>
      </c>
      <c r="E742" s="1">
        <v>43582</v>
      </c>
      <c r="F742" t="s">
        <v>22</v>
      </c>
      <c r="G742" t="s">
        <v>12</v>
      </c>
      <c r="H742" t="str">
        <f t="shared" si="33"/>
        <v>WIN</v>
      </c>
      <c r="I742" t="s">
        <v>22</v>
      </c>
      <c r="J742" t="s">
        <v>137</v>
      </c>
      <c r="K742" t="s">
        <v>32</v>
      </c>
    </row>
    <row r="743" spans="1:11" x14ac:dyDescent="0.3">
      <c r="A743" t="s">
        <v>281</v>
      </c>
      <c r="B743" t="s">
        <v>10</v>
      </c>
      <c r="C743" t="str">
        <f t="shared" si="34"/>
        <v>IPL-2019</v>
      </c>
      <c r="D743">
        <f t="shared" si="35"/>
        <v>2019</v>
      </c>
      <c r="E743" s="1">
        <v>43583</v>
      </c>
      <c r="F743" t="s">
        <v>281</v>
      </c>
      <c r="G743" t="s">
        <v>18</v>
      </c>
      <c r="H743" t="str">
        <f t="shared" si="33"/>
        <v>WIN</v>
      </c>
      <c r="I743" t="s">
        <v>281</v>
      </c>
      <c r="J743" t="s">
        <v>162</v>
      </c>
      <c r="K743" t="s">
        <v>274</v>
      </c>
    </row>
    <row r="744" spans="1:11" x14ac:dyDescent="0.3">
      <c r="A744" t="s">
        <v>11</v>
      </c>
      <c r="B744" t="s">
        <v>25</v>
      </c>
      <c r="C744" t="str">
        <f t="shared" si="34"/>
        <v>IPL-2019</v>
      </c>
      <c r="D744">
        <f t="shared" si="35"/>
        <v>2019</v>
      </c>
      <c r="E744" s="1">
        <v>43583</v>
      </c>
      <c r="F744" t="s">
        <v>25</v>
      </c>
      <c r="G744" t="s">
        <v>12</v>
      </c>
      <c r="H744" t="str">
        <f t="shared" si="33"/>
        <v>LOSS</v>
      </c>
      <c r="I744" t="s">
        <v>11</v>
      </c>
      <c r="J744" t="s">
        <v>221</v>
      </c>
      <c r="K744" t="s">
        <v>30</v>
      </c>
    </row>
    <row r="745" spans="1:11" x14ac:dyDescent="0.3">
      <c r="A745" t="s">
        <v>187</v>
      </c>
      <c r="B745" t="s">
        <v>16</v>
      </c>
      <c r="C745" t="str">
        <f t="shared" si="34"/>
        <v>IPL-2019</v>
      </c>
      <c r="D745">
        <f t="shared" si="35"/>
        <v>2019</v>
      </c>
      <c r="E745" s="1">
        <v>43584</v>
      </c>
      <c r="F745" t="s">
        <v>16</v>
      </c>
      <c r="G745" t="s">
        <v>12</v>
      </c>
      <c r="H745" t="str">
        <f t="shared" si="33"/>
        <v>LOSS</v>
      </c>
      <c r="I745" t="s">
        <v>187</v>
      </c>
      <c r="J745" t="s">
        <v>121</v>
      </c>
      <c r="K745" t="s">
        <v>267</v>
      </c>
    </row>
    <row r="746" spans="1:11" x14ac:dyDescent="0.3">
      <c r="A746" t="s">
        <v>10</v>
      </c>
      <c r="B746" t="s">
        <v>22</v>
      </c>
      <c r="C746" t="str">
        <f t="shared" si="34"/>
        <v>IPL-2019</v>
      </c>
      <c r="D746">
        <f t="shared" si="35"/>
        <v>2019</v>
      </c>
      <c r="E746" s="1">
        <v>43585</v>
      </c>
      <c r="F746" t="s">
        <v>22</v>
      </c>
      <c r="G746" t="s">
        <v>12</v>
      </c>
      <c r="H746" t="str">
        <f t="shared" si="33"/>
        <v>LOSS</v>
      </c>
      <c r="J746" t="s">
        <v>15</v>
      </c>
      <c r="K746" t="s">
        <v>250</v>
      </c>
    </row>
    <row r="747" spans="1:11" x14ac:dyDescent="0.3">
      <c r="A747" t="s">
        <v>17</v>
      </c>
      <c r="B747" t="s">
        <v>281</v>
      </c>
      <c r="C747" t="str">
        <f t="shared" si="34"/>
        <v>IPL-2019</v>
      </c>
      <c r="D747">
        <f t="shared" si="35"/>
        <v>2019</v>
      </c>
      <c r="E747" s="1">
        <v>43586</v>
      </c>
      <c r="F747" t="s">
        <v>281</v>
      </c>
      <c r="G747" t="s">
        <v>12</v>
      </c>
      <c r="H747" t="str">
        <f t="shared" si="33"/>
        <v>LOSS</v>
      </c>
      <c r="I747" t="s">
        <v>17</v>
      </c>
      <c r="J747" t="s">
        <v>43</v>
      </c>
      <c r="K747" t="s">
        <v>269</v>
      </c>
    </row>
    <row r="748" spans="1:11" x14ac:dyDescent="0.3">
      <c r="A748" t="s">
        <v>25</v>
      </c>
      <c r="B748" t="s">
        <v>187</v>
      </c>
      <c r="C748" t="str">
        <f t="shared" si="34"/>
        <v>IPL-2019</v>
      </c>
      <c r="D748">
        <f t="shared" si="35"/>
        <v>2019</v>
      </c>
      <c r="E748" s="1">
        <v>43587</v>
      </c>
      <c r="F748" t="s">
        <v>25</v>
      </c>
      <c r="G748" t="s">
        <v>18</v>
      </c>
      <c r="H748" t="str">
        <f t="shared" si="33"/>
        <v>LOSS</v>
      </c>
      <c r="J748" t="s">
        <v>253</v>
      </c>
      <c r="K748" t="s">
        <v>27</v>
      </c>
    </row>
    <row r="749" spans="1:11" x14ac:dyDescent="0.3">
      <c r="A749" t="s">
        <v>16</v>
      </c>
      <c r="B749" t="s">
        <v>11</v>
      </c>
      <c r="C749" t="str">
        <f t="shared" si="34"/>
        <v>IPL-2019</v>
      </c>
      <c r="D749">
        <f t="shared" si="35"/>
        <v>2019</v>
      </c>
      <c r="E749" s="1">
        <v>43588</v>
      </c>
      <c r="F749" t="s">
        <v>11</v>
      </c>
      <c r="G749" t="s">
        <v>12</v>
      </c>
      <c r="H749" t="str">
        <f t="shared" si="33"/>
        <v>WIN</v>
      </c>
      <c r="I749" t="s">
        <v>11</v>
      </c>
      <c r="J749" t="s">
        <v>292</v>
      </c>
      <c r="K749" t="s">
        <v>266</v>
      </c>
    </row>
    <row r="750" spans="1:11" x14ac:dyDescent="0.3">
      <c r="A750" t="s">
        <v>22</v>
      </c>
      <c r="B750" t="s">
        <v>281</v>
      </c>
      <c r="C750" t="str">
        <f t="shared" si="34"/>
        <v>IPL-2019</v>
      </c>
      <c r="D750">
        <f t="shared" si="35"/>
        <v>2019</v>
      </c>
      <c r="E750" s="1">
        <v>43589</v>
      </c>
      <c r="F750" t="s">
        <v>22</v>
      </c>
      <c r="G750" t="s">
        <v>18</v>
      </c>
      <c r="H750" t="str">
        <f t="shared" si="33"/>
        <v>LOSS</v>
      </c>
      <c r="I750" t="s">
        <v>281</v>
      </c>
      <c r="J750" t="s">
        <v>57</v>
      </c>
      <c r="K750" t="s">
        <v>274</v>
      </c>
    </row>
    <row r="751" spans="1:11" x14ac:dyDescent="0.3">
      <c r="A751" t="s">
        <v>187</v>
      </c>
      <c r="B751" t="s">
        <v>10</v>
      </c>
      <c r="C751" t="str">
        <f t="shared" si="34"/>
        <v>IPL-2019</v>
      </c>
      <c r="D751">
        <f t="shared" si="35"/>
        <v>2019</v>
      </c>
      <c r="E751" s="1">
        <v>43589</v>
      </c>
      <c r="F751" t="s">
        <v>10</v>
      </c>
      <c r="G751" t="s">
        <v>12</v>
      </c>
      <c r="H751" t="str">
        <f t="shared" si="33"/>
        <v>WIN</v>
      </c>
      <c r="I751" t="s">
        <v>10</v>
      </c>
      <c r="J751" t="s">
        <v>293</v>
      </c>
      <c r="K751" t="s">
        <v>250</v>
      </c>
    </row>
    <row r="752" spans="1:11" x14ac:dyDescent="0.3">
      <c r="A752" t="s">
        <v>11</v>
      </c>
      <c r="B752" t="s">
        <v>25</v>
      </c>
      <c r="C752" t="str">
        <f t="shared" si="34"/>
        <v>IPL-2019</v>
      </c>
      <c r="D752">
        <f t="shared" si="35"/>
        <v>2019</v>
      </c>
      <c r="E752" s="1">
        <v>43590</v>
      </c>
      <c r="F752" t="s">
        <v>25</v>
      </c>
      <c r="G752" t="s">
        <v>12</v>
      </c>
      <c r="H752" t="str">
        <f t="shared" si="33"/>
        <v>WIN</v>
      </c>
      <c r="I752" t="s">
        <v>25</v>
      </c>
      <c r="J752" t="s">
        <v>228</v>
      </c>
      <c r="K752" t="s">
        <v>27</v>
      </c>
    </row>
    <row r="753" spans="1:11" x14ac:dyDescent="0.3">
      <c r="A753" t="s">
        <v>17</v>
      </c>
      <c r="B753" t="s">
        <v>16</v>
      </c>
      <c r="C753" t="str">
        <f t="shared" si="34"/>
        <v>IPL-2019</v>
      </c>
      <c r="D753">
        <f t="shared" si="35"/>
        <v>2019</v>
      </c>
      <c r="E753" s="1">
        <v>43590</v>
      </c>
      <c r="F753" t="s">
        <v>16</v>
      </c>
      <c r="G753" t="s">
        <v>12</v>
      </c>
      <c r="H753" t="str">
        <f t="shared" si="33"/>
        <v>WIN</v>
      </c>
      <c r="I753" t="s">
        <v>16</v>
      </c>
      <c r="J753" t="s">
        <v>265</v>
      </c>
      <c r="K753" t="s">
        <v>266</v>
      </c>
    </row>
    <row r="754" spans="1:11" x14ac:dyDescent="0.3">
      <c r="A754" t="s">
        <v>17</v>
      </c>
      <c r="B754" t="s">
        <v>25</v>
      </c>
      <c r="C754" t="str">
        <f t="shared" si="34"/>
        <v>IPL-2019</v>
      </c>
      <c r="D754">
        <f t="shared" si="35"/>
        <v>2019</v>
      </c>
      <c r="E754" s="1">
        <v>43592</v>
      </c>
      <c r="F754" t="s">
        <v>17</v>
      </c>
      <c r="G754" t="s">
        <v>18</v>
      </c>
      <c r="H754" t="str">
        <f t="shared" si="33"/>
        <v>LOSS</v>
      </c>
      <c r="I754" t="s">
        <v>25</v>
      </c>
      <c r="J754" t="s">
        <v>238</v>
      </c>
      <c r="K754" t="s">
        <v>269</v>
      </c>
    </row>
    <row r="755" spans="1:11" x14ac:dyDescent="0.3">
      <c r="A755" t="s">
        <v>187</v>
      </c>
      <c r="B755" t="s">
        <v>281</v>
      </c>
      <c r="C755" t="str">
        <f t="shared" si="34"/>
        <v>IPL-2019</v>
      </c>
      <c r="D755">
        <f t="shared" si="35"/>
        <v>2019</v>
      </c>
      <c r="E755" s="1">
        <v>43593</v>
      </c>
      <c r="F755" t="s">
        <v>281</v>
      </c>
      <c r="G755" t="s">
        <v>12</v>
      </c>
      <c r="H755" t="str">
        <f t="shared" si="33"/>
        <v>WIN</v>
      </c>
      <c r="I755" t="s">
        <v>281</v>
      </c>
      <c r="J755" t="s">
        <v>242</v>
      </c>
      <c r="K755" t="s">
        <v>168</v>
      </c>
    </row>
    <row r="756" spans="1:11" x14ac:dyDescent="0.3">
      <c r="A756" t="s">
        <v>281</v>
      </c>
      <c r="B756" t="s">
        <v>17</v>
      </c>
      <c r="C756" t="str">
        <f t="shared" si="34"/>
        <v>IPL-2019</v>
      </c>
      <c r="D756">
        <f t="shared" si="35"/>
        <v>2019</v>
      </c>
      <c r="E756" s="1">
        <v>43595</v>
      </c>
      <c r="F756" t="s">
        <v>17</v>
      </c>
      <c r="G756" t="s">
        <v>12</v>
      </c>
      <c r="H756" t="str">
        <f t="shared" si="33"/>
        <v>WIN</v>
      </c>
      <c r="I756" t="s">
        <v>17</v>
      </c>
      <c r="J756" t="s">
        <v>172</v>
      </c>
      <c r="K756" t="s">
        <v>168</v>
      </c>
    </row>
    <row r="757" spans="1:11" x14ac:dyDescent="0.3">
      <c r="A757" t="s">
        <v>25</v>
      </c>
      <c r="B757" t="s">
        <v>17</v>
      </c>
      <c r="C757" t="str">
        <f t="shared" si="34"/>
        <v>IPL-2019</v>
      </c>
      <c r="D757">
        <f t="shared" si="35"/>
        <v>2019</v>
      </c>
      <c r="E757" s="1">
        <v>43597</v>
      </c>
      <c r="F757" t="s">
        <v>25</v>
      </c>
      <c r="G757" t="s">
        <v>18</v>
      </c>
      <c r="H757" t="str">
        <f t="shared" si="33"/>
        <v>WIN</v>
      </c>
      <c r="I757" t="s">
        <v>25</v>
      </c>
      <c r="J757" t="s">
        <v>253</v>
      </c>
      <c r="K757" t="s">
        <v>267</v>
      </c>
    </row>
    <row r="758" spans="1:11" x14ac:dyDescent="0.3">
      <c r="A758" t="s">
        <v>25</v>
      </c>
      <c r="B758" t="s">
        <v>17</v>
      </c>
      <c r="C758" t="str">
        <f t="shared" si="34"/>
        <v>IPL-2020</v>
      </c>
      <c r="D758">
        <f t="shared" si="35"/>
        <v>2020</v>
      </c>
      <c r="E758" s="1">
        <v>44093</v>
      </c>
      <c r="F758" t="s">
        <v>17</v>
      </c>
      <c r="G758" t="s">
        <v>12</v>
      </c>
      <c r="H758" t="str">
        <f t="shared" si="33"/>
        <v>WIN</v>
      </c>
      <c r="I758" t="s">
        <v>17</v>
      </c>
      <c r="J758" t="s">
        <v>125</v>
      </c>
      <c r="K758" t="s">
        <v>204</v>
      </c>
    </row>
    <row r="759" spans="1:11" x14ac:dyDescent="0.3">
      <c r="A759" t="s">
        <v>281</v>
      </c>
      <c r="B759" t="s">
        <v>16</v>
      </c>
      <c r="C759" t="str">
        <f t="shared" si="34"/>
        <v>IPL-2020</v>
      </c>
      <c r="D759">
        <f t="shared" si="35"/>
        <v>2020</v>
      </c>
      <c r="E759" s="1">
        <v>44094</v>
      </c>
      <c r="F759" t="s">
        <v>16</v>
      </c>
      <c r="G759" t="s">
        <v>12</v>
      </c>
      <c r="H759" t="str">
        <f t="shared" si="33"/>
        <v>LOSS</v>
      </c>
      <c r="J759" t="s">
        <v>243</v>
      </c>
      <c r="K759" t="s">
        <v>208</v>
      </c>
    </row>
    <row r="760" spans="1:11" x14ac:dyDescent="0.3">
      <c r="A760" t="s">
        <v>10</v>
      </c>
      <c r="B760" t="s">
        <v>187</v>
      </c>
      <c r="C760" t="str">
        <f t="shared" si="34"/>
        <v>IPL-2020</v>
      </c>
      <c r="D760">
        <f t="shared" si="35"/>
        <v>2020</v>
      </c>
      <c r="E760" s="1">
        <v>44095</v>
      </c>
      <c r="F760" t="s">
        <v>187</v>
      </c>
      <c r="G760" t="s">
        <v>12</v>
      </c>
      <c r="H760" t="str">
        <f t="shared" si="33"/>
        <v>LOSS</v>
      </c>
      <c r="I760" t="s">
        <v>10</v>
      </c>
      <c r="J760" t="s">
        <v>205</v>
      </c>
      <c r="K760" t="s">
        <v>208</v>
      </c>
    </row>
    <row r="761" spans="1:11" x14ac:dyDescent="0.3">
      <c r="A761" t="s">
        <v>22</v>
      </c>
      <c r="B761" t="s">
        <v>17</v>
      </c>
      <c r="C761" t="str">
        <f t="shared" si="34"/>
        <v>IPL-2020</v>
      </c>
      <c r="D761">
        <f t="shared" si="35"/>
        <v>2020</v>
      </c>
      <c r="E761" s="1">
        <v>44096</v>
      </c>
      <c r="F761" t="s">
        <v>17</v>
      </c>
      <c r="G761" t="s">
        <v>12</v>
      </c>
      <c r="H761" t="str">
        <f t="shared" si="33"/>
        <v>LOSS</v>
      </c>
      <c r="I761" t="s">
        <v>22</v>
      </c>
      <c r="J761" t="s">
        <v>196</v>
      </c>
      <c r="K761" t="s">
        <v>206</v>
      </c>
    </row>
    <row r="762" spans="1:11" x14ac:dyDescent="0.3">
      <c r="A762" t="s">
        <v>25</v>
      </c>
      <c r="B762" t="s">
        <v>11</v>
      </c>
      <c r="C762" t="str">
        <f t="shared" si="34"/>
        <v>IPL-2020</v>
      </c>
      <c r="D762">
        <f t="shared" si="35"/>
        <v>2020</v>
      </c>
      <c r="E762" s="1">
        <v>44097</v>
      </c>
      <c r="F762" t="s">
        <v>11</v>
      </c>
      <c r="G762" t="s">
        <v>12</v>
      </c>
      <c r="H762" t="str">
        <f t="shared" si="33"/>
        <v>LOSS</v>
      </c>
      <c r="I762" t="s">
        <v>25</v>
      </c>
      <c r="J762" t="s">
        <v>93</v>
      </c>
      <c r="K762" t="s">
        <v>204</v>
      </c>
    </row>
    <row r="763" spans="1:11" x14ac:dyDescent="0.3">
      <c r="A763" t="s">
        <v>16</v>
      </c>
      <c r="B763" t="s">
        <v>10</v>
      </c>
      <c r="C763" t="str">
        <f t="shared" si="34"/>
        <v>IPL-2020</v>
      </c>
      <c r="D763">
        <f t="shared" si="35"/>
        <v>2020</v>
      </c>
      <c r="E763" s="1">
        <v>44098</v>
      </c>
      <c r="F763" t="s">
        <v>10</v>
      </c>
      <c r="G763" t="s">
        <v>12</v>
      </c>
      <c r="H763" t="str">
        <f t="shared" si="33"/>
        <v>LOSS</v>
      </c>
      <c r="I763" t="s">
        <v>16</v>
      </c>
      <c r="J763" t="s">
        <v>265</v>
      </c>
      <c r="K763" t="s">
        <v>208</v>
      </c>
    </row>
    <row r="764" spans="1:11" x14ac:dyDescent="0.3">
      <c r="A764" t="s">
        <v>281</v>
      </c>
      <c r="B764" t="s">
        <v>17</v>
      </c>
      <c r="C764" t="str">
        <f t="shared" si="34"/>
        <v>IPL-2020</v>
      </c>
      <c r="D764">
        <f t="shared" si="35"/>
        <v>2020</v>
      </c>
      <c r="E764" s="1">
        <v>44099</v>
      </c>
      <c r="F764" t="s">
        <v>17</v>
      </c>
      <c r="G764" t="s">
        <v>12</v>
      </c>
      <c r="H764" t="str">
        <f t="shared" si="33"/>
        <v>LOSS</v>
      </c>
      <c r="I764" t="s">
        <v>281</v>
      </c>
      <c r="J764" t="s">
        <v>282</v>
      </c>
      <c r="K764" t="s">
        <v>208</v>
      </c>
    </row>
    <row r="765" spans="1:11" x14ac:dyDescent="0.3">
      <c r="A765" t="s">
        <v>187</v>
      </c>
      <c r="B765" t="s">
        <v>11</v>
      </c>
      <c r="C765" t="str">
        <f t="shared" si="34"/>
        <v>IPL-2020</v>
      </c>
      <c r="D765">
        <f t="shared" si="35"/>
        <v>2020</v>
      </c>
      <c r="E765" s="1">
        <v>44100</v>
      </c>
      <c r="F765" t="s">
        <v>187</v>
      </c>
      <c r="G765" t="s">
        <v>18</v>
      </c>
      <c r="H765" t="str">
        <f t="shared" si="33"/>
        <v>LOSS</v>
      </c>
      <c r="I765" t="s">
        <v>11</v>
      </c>
      <c r="J765" t="s">
        <v>292</v>
      </c>
      <c r="K765" t="s">
        <v>204</v>
      </c>
    </row>
    <row r="766" spans="1:11" x14ac:dyDescent="0.3">
      <c r="A766" t="s">
        <v>16</v>
      </c>
      <c r="B766" t="s">
        <v>22</v>
      </c>
      <c r="C766" t="str">
        <f t="shared" si="34"/>
        <v>IPL-2020</v>
      </c>
      <c r="D766">
        <f t="shared" si="35"/>
        <v>2020</v>
      </c>
      <c r="E766" s="1">
        <v>44101</v>
      </c>
      <c r="F766" t="s">
        <v>22</v>
      </c>
      <c r="G766" t="s">
        <v>12</v>
      </c>
      <c r="H766" t="str">
        <f t="shared" si="33"/>
        <v>WIN</v>
      </c>
      <c r="I766" t="s">
        <v>22</v>
      </c>
      <c r="J766" t="s">
        <v>196</v>
      </c>
      <c r="K766" t="s">
        <v>206</v>
      </c>
    </row>
    <row r="767" spans="1:11" x14ac:dyDescent="0.3">
      <c r="A767" t="s">
        <v>10</v>
      </c>
      <c r="B767" t="s">
        <v>25</v>
      </c>
      <c r="C767" t="str">
        <f t="shared" si="34"/>
        <v>IPL-2020</v>
      </c>
      <c r="D767">
        <f t="shared" si="35"/>
        <v>2020</v>
      </c>
      <c r="E767" s="1">
        <v>44102</v>
      </c>
      <c r="F767" t="s">
        <v>25</v>
      </c>
      <c r="G767" t="s">
        <v>12</v>
      </c>
      <c r="H767" t="str">
        <f t="shared" si="33"/>
        <v>LOSS</v>
      </c>
      <c r="J767" t="s">
        <v>79</v>
      </c>
      <c r="K767" t="s">
        <v>208</v>
      </c>
    </row>
    <row r="768" spans="1:11" x14ac:dyDescent="0.3">
      <c r="A768" t="s">
        <v>187</v>
      </c>
      <c r="B768" t="s">
        <v>281</v>
      </c>
      <c r="C768" t="str">
        <f t="shared" si="34"/>
        <v>IPL-2020</v>
      </c>
      <c r="D768">
        <f t="shared" si="35"/>
        <v>2020</v>
      </c>
      <c r="E768" s="1">
        <v>44103</v>
      </c>
      <c r="F768" t="s">
        <v>281</v>
      </c>
      <c r="G768" t="s">
        <v>12</v>
      </c>
      <c r="H768" t="str">
        <f t="shared" si="33"/>
        <v>LOSS</v>
      </c>
      <c r="I768" t="s">
        <v>187</v>
      </c>
      <c r="J768" t="s">
        <v>251</v>
      </c>
      <c r="K768" t="s">
        <v>204</v>
      </c>
    </row>
    <row r="769" spans="1:11" x14ac:dyDescent="0.3">
      <c r="A769" t="s">
        <v>11</v>
      </c>
      <c r="B769" t="s">
        <v>22</v>
      </c>
      <c r="C769" t="str">
        <f t="shared" si="34"/>
        <v>IPL-2020</v>
      </c>
      <c r="D769">
        <f t="shared" si="35"/>
        <v>2020</v>
      </c>
      <c r="E769" s="1">
        <v>44104</v>
      </c>
      <c r="F769" t="s">
        <v>22</v>
      </c>
      <c r="G769" t="s">
        <v>12</v>
      </c>
      <c r="H769" t="str">
        <f t="shared" si="33"/>
        <v>LOSS</v>
      </c>
      <c r="I769" t="s">
        <v>11</v>
      </c>
      <c r="J769" t="s">
        <v>294</v>
      </c>
      <c r="K769" t="s">
        <v>208</v>
      </c>
    </row>
    <row r="770" spans="1:11" x14ac:dyDescent="0.3">
      <c r="A770" t="s">
        <v>25</v>
      </c>
      <c r="B770" t="s">
        <v>16</v>
      </c>
      <c r="C770" t="str">
        <f t="shared" si="34"/>
        <v>IPL-2020</v>
      </c>
      <c r="D770">
        <f t="shared" si="35"/>
        <v>2020</v>
      </c>
      <c r="E770" s="1">
        <v>44105</v>
      </c>
      <c r="F770" t="s">
        <v>16</v>
      </c>
      <c r="G770" t="s">
        <v>12</v>
      </c>
      <c r="H770" t="str">
        <f t="shared" ref="H770:H833" si="36">IF(F770=I770,"WIN","LOSS")</f>
        <v>LOSS</v>
      </c>
      <c r="I770" t="s">
        <v>25</v>
      </c>
      <c r="J770" t="s">
        <v>134</v>
      </c>
      <c r="K770" t="s">
        <v>204</v>
      </c>
    </row>
    <row r="771" spans="1:11" x14ac:dyDescent="0.3">
      <c r="A771" t="s">
        <v>187</v>
      </c>
      <c r="B771" t="s">
        <v>17</v>
      </c>
      <c r="C771" t="str">
        <f t="shared" ref="C771:C834" si="37">_xlfn.CONCAT("IPL-",D771)</f>
        <v>IPL-2020</v>
      </c>
      <c r="D771">
        <f t="shared" ref="D771:D834" si="38">YEAR(E771)</f>
        <v>2020</v>
      </c>
      <c r="E771" s="1">
        <v>44106</v>
      </c>
      <c r="F771" t="s">
        <v>187</v>
      </c>
      <c r="G771" t="s">
        <v>18</v>
      </c>
      <c r="H771" t="str">
        <f t="shared" si="36"/>
        <v>WIN</v>
      </c>
      <c r="I771" t="s">
        <v>187</v>
      </c>
      <c r="J771" t="s">
        <v>295</v>
      </c>
      <c r="K771" t="s">
        <v>208</v>
      </c>
    </row>
    <row r="772" spans="1:11" x14ac:dyDescent="0.3">
      <c r="A772" t="s">
        <v>22</v>
      </c>
      <c r="B772" t="s">
        <v>10</v>
      </c>
      <c r="C772" t="str">
        <f t="shared" si="37"/>
        <v>IPL-2020</v>
      </c>
      <c r="D772">
        <f t="shared" si="38"/>
        <v>2020</v>
      </c>
      <c r="E772" s="1">
        <v>44107</v>
      </c>
      <c r="F772" t="s">
        <v>22</v>
      </c>
      <c r="G772" t="s">
        <v>18</v>
      </c>
      <c r="H772" t="str">
        <f t="shared" si="36"/>
        <v>LOSS</v>
      </c>
      <c r="I772" t="s">
        <v>10</v>
      </c>
      <c r="J772" t="s">
        <v>205</v>
      </c>
      <c r="K772" t="s">
        <v>204</v>
      </c>
    </row>
    <row r="773" spans="1:11" x14ac:dyDescent="0.3">
      <c r="A773" t="s">
        <v>281</v>
      </c>
      <c r="B773" t="s">
        <v>11</v>
      </c>
      <c r="C773" t="str">
        <f t="shared" si="37"/>
        <v>IPL-2020</v>
      </c>
      <c r="D773">
        <f t="shared" si="38"/>
        <v>2020</v>
      </c>
      <c r="E773" s="1">
        <v>44107</v>
      </c>
      <c r="F773" t="s">
        <v>11</v>
      </c>
      <c r="G773" t="s">
        <v>12</v>
      </c>
      <c r="H773" t="str">
        <f t="shared" si="36"/>
        <v>LOSS</v>
      </c>
      <c r="I773" t="s">
        <v>281</v>
      </c>
      <c r="J773" t="s">
        <v>222</v>
      </c>
      <c r="K773" t="s">
        <v>206</v>
      </c>
    </row>
    <row r="774" spans="1:11" x14ac:dyDescent="0.3">
      <c r="A774" t="s">
        <v>25</v>
      </c>
      <c r="B774" t="s">
        <v>187</v>
      </c>
      <c r="C774" t="str">
        <f t="shared" si="37"/>
        <v>IPL-2020</v>
      </c>
      <c r="D774">
        <f t="shared" si="38"/>
        <v>2020</v>
      </c>
      <c r="E774" s="1">
        <v>44108</v>
      </c>
      <c r="F774" t="s">
        <v>25</v>
      </c>
      <c r="G774" t="s">
        <v>18</v>
      </c>
      <c r="H774" t="str">
        <f t="shared" si="36"/>
        <v>WIN</v>
      </c>
      <c r="I774" t="s">
        <v>25</v>
      </c>
      <c r="J774" t="s">
        <v>225</v>
      </c>
      <c r="K774" t="s">
        <v>206</v>
      </c>
    </row>
    <row r="775" spans="1:11" x14ac:dyDescent="0.3">
      <c r="A775" t="s">
        <v>16</v>
      </c>
      <c r="B775" t="s">
        <v>17</v>
      </c>
      <c r="C775" t="str">
        <f t="shared" si="37"/>
        <v>IPL-2020</v>
      </c>
      <c r="D775">
        <f t="shared" si="38"/>
        <v>2020</v>
      </c>
      <c r="E775" s="1">
        <v>44108</v>
      </c>
      <c r="F775" t="s">
        <v>16</v>
      </c>
      <c r="G775" t="s">
        <v>18</v>
      </c>
      <c r="H775" t="str">
        <f t="shared" si="36"/>
        <v>LOSS</v>
      </c>
      <c r="I775" t="s">
        <v>17</v>
      </c>
      <c r="J775" t="s">
        <v>31</v>
      </c>
      <c r="K775" t="s">
        <v>208</v>
      </c>
    </row>
    <row r="776" spans="1:11" x14ac:dyDescent="0.3">
      <c r="A776" t="s">
        <v>281</v>
      </c>
      <c r="B776" t="s">
        <v>10</v>
      </c>
      <c r="C776" t="str">
        <f t="shared" si="37"/>
        <v>IPL-2020</v>
      </c>
      <c r="D776">
        <f t="shared" si="38"/>
        <v>2020</v>
      </c>
      <c r="E776" s="1">
        <v>44109</v>
      </c>
      <c r="F776" t="s">
        <v>10</v>
      </c>
      <c r="G776" t="s">
        <v>12</v>
      </c>
      <c r="H776" t="str">
        <f t="shared" si="36"/>
        <v>LOSS</v>
      </c>
      <c r="I776" t="s">
        <v>281</v>
      </c>
      <c r="J776" t="s">
        <v>216</v>
      </c>
      <c r="K776" t="s">
        <v>208</v>
      </c>
    </row>
    <row r="777" spans="1:11" x14ac:dyDescent="0.3">
      <c r="A777" t="s">
        <v>25</v>
      </c>
      <c r="B777" t="s">
        <v>22</v>
      </c>
      <c r="C777" t="str">
        <f t="shared" si="37"/>
        <v>IPL-2020</v>
      </c>
      <c r="D777">
        <f t="shared" si="38"/>
        <v>2020</v>
      </c>
      <c r="E777" s="1">
        <v>44110</v>
      </c>
      <c r="F777" t="s">
        <v>25</v>
      </c>
      <c r="G777" t="s">
        <v>18</v>
      </c>
      <c r="H777" t="str">
        <f t="shared" si="36"/>
        <v>WIN</v>
      </c>
      <c r="I777" t="s">
        <v>25</v>
      </c>
      <c r="J777" t="s">
        <v>238</v>
      </c>
      <c r="K777" t="s">
        <v>204</v>
      </c>
    </row>
    <row r="778" spans="1:11" x14ac:dyDescent="0.3">
      <c r="A778" t="s">
        <v>11</v>
      </c>
      <c r="B778" t="s">
        <v>17</v>
      </c>
      <c r="C778" t="str">
        <f t="shared" si="37"/>
        <v>IPL-2020</v>
      </c>
      <c r="D778">
        <f t="shared" si="38"/>
        <v>2020</v>
      </c>
      <c r="E778" s="1">
        <v>44111</v>
      </c>
      <c r="F778" t="s">
        <v>11</v>
      </c>
      <c r="G778" t="s">
        <v>18</v>
      </c>
      <c r="H778" t="str">
        <f t="shared" si="36"/>
        <v>WIN</v>
      </c>
      <c r="I778" t="s">
        <v>11</v>
      </c>
      <c r="J778" t="s">
        <v>260</v>
      </c>
      <c r="K778" t="s">
        <v>204</v>
      </c>
    </row>
    <row r="779" spans="1:11" x14ac:dyDescent="0.3">
      <c r="A779" t="s">
        <v>187</v>
      </c>
      <c r="B779" t="s">
        <v>16</v>
      </c>
      <c r="C779" t="str">
        <f t="shared" si="37"/>
        <v>IPL-2020</v>
      </c>
      <c r="D779">
        <f t="shared" si="38"/>
        <v>2020</v>
      </c>
      <c r="E779" s="1">
        <v>44112</v>
      </c>
      <c r="F779" t="s">
        <v>187</v>
      </c>
      <c r="G779" t="s">
        <v>18</v>
      </c>
      <c r="H779" t="str">
        <f t="shared" si="36"/>
        <v>WIN</v>
      </c>
      <c r="I779" t="s">
        <v>187</v>
      </c>
      <c r="J779" t="s">
        <v>283</v>
      </c>
      <c r="K779" t="s">
        <v>208</v>
      </c>
    </row>
    <row r="780" spans="1:11" x14ac:dyDescent="0.3">
      <c r="A780" t="s">
        <v>281</v>
      </c>
      <c r="B780" t="s">
        <v>22</v>
      </c>
      <c r="C780" t="str">
        <f t="shared" si="37"/>
        <v>IPL-2020</v>
      </c>
      <c r="D780">
        <f t="shared" si="38"/>
        <v>2020</v>
      </c>
      <c r="E780" s="1">
        <v>44113</v>
      </c>
      <c r="F780" t="s">
        <v>22</v>
      </c>
      <c r="G780" t="s">
        <v>12</v>
      </c>
      <c r="H780" t="str">
        <f t="shared" si="36"/>
        <v>LOSS</v>
      </c>
      <c r="I780" t="s">
        <v>281</v>
      </c>
      <c r="J780" t="s">
        <v>133</v>
      </c>
      <c r="K780" t="s">
        <v>206</v>
      </c>
    </row>
    <row r="781" spans="1:11" x14ac:dyDescent="0.3">
      <c r="A781" t="s">
        <v>11</v>
      </c>
      <c r="B781" t="s">
        <v>16</v>
      </c>
      <c r="C781" t="str">
        <f t="shared" si="37"/>
        <v>IPL-2020</v>
      </c>
      <c r="D781">
        <f t="shared" si="38"/>
        <v>2020</v>
      </c>
      <c r="E781" s="1">
        <v>44114</v>
      </c>
      <c r="F781" t="s">
        <v>11</v>
      </c>
      <c r="G781" t="s">
        <v>18</v>
      </c>
      <c r="H781" t="str">
        <f t="shared" si="36"/>
        <v>WIN</v>
      </c>
      <c r="I781" t="s">
        <v>11</v>
      </c>
      <c r="J781" t="s">
        <v>65</v>
      </c>
      <c r="K781" t="s">
        <v>204</v>
      </c>
    </row>
    <row r="782" spans="1:11" x14ac:dyDescent="0.3">
      <c r="A782" t="s">
        <v>10</v>
      </c>
      <c r="B782" t="s">
        <v>17</v>
      </c>
      <c r="C782" t="str">
        <f t="shared" si="37"/>
        <v>IPL-2020</v>
      </c>
      <c r="D782">
        <f t="shared" si="38"/>
        <v>2020</v>
      </c>
      <c r="E782" s="1">
        <v>44114</v>
      </c>
      <c r="F782" t="s">
        <v>10</v>
      </c>
      <c r="G782" t="s">
        <v>18</v>
      </c>
      <c r="H782" t="str">
        <f t="shared" si="36"/>
        <v>WIN</v>
      </c>
      <c r="I782" t="s">
        <v>10</v>
      </c>
      <c r="J782" t="s">
        <v>151</v>
      </c>
      <c r="K782" t="s">
        <v>208</v>
      </c>
    </row>
    <row r="783" spans="1:11" x14ac:dyDescent="0.3">
      <c r="A783" t="s">
        <v>187</v>
      </c>
      <c r="B783" t="s">
        <v>22</v>
      </c>
      <c r="C783" t="str">
        <f t="shared" si="37"/>
        <v>IPL-2020</v>
      </c>
      <c r="D783">
        <f t="shared" si="38"/>
        <v>2020</v>
      </c>
      <c r="E783" s="1">
        <v>44115</v>
      </c>
      <c r="F783" t="s">
        <v>187</v>
      </c>
      <c r="G783" t="s">
        <v>18</v>
      </c>
      <c r="H783" t="str">
        <f t="shared" si="36"/>
        <v>LOSS</v>
      </c>
      <c r="I783" t="s">
        <v>22</v>
      </c>
      <c r="J783" t="s">
        <v>296</v>
      </c>
      <c r="K783" t="s">
        <v>208</v>
      </c>
    </row>
    <row r="784" spans="1:11" x14ac:dyDescent="0.3">
      <c r="A784" t="s">
        <v>281</v>
      </c>
      <c r="B784" t="s">
        <v>25</v>
      </c>
      <c r="C784" t="str">
        <f t="shared" si="37"/>
        <v>IPL-2020</v>
      </c>
      <c r="D784">
        <f t="shared" si="38"/>
        <v>2020</v>
      </c>
      <c r="E784" s="1">
        <v>44115</v>
      </c>
      <c r="F784" t="s">
        <v>281</v>
      </c>
      <c r="G784" t="s">
        <v>18</v>
      </c>
      <c r="H784" t="str">
        <f t="shared" si="36"/>
        <v>LOSS</v>
      </c>
      <c r="I784" t="s">
        <v>25</v>
      </c>
      <c r="J784" t="s">
        <v>236</v>
      </c>
      <c r="K784" t="s">
        <v>204</v>
      </c>
    </row>
    <row r="785" spans="1:11" x14ac:dyDescent="0.3">
      <c r="A785" t="s">
        <v>10</v>
      </c>
      <c r="B785" t="s">
        <v>11</v>
      </c>
      <c r="C785" t="str">
        <f t="shared" si="37"/>
        <v>IPL-2020</v>
      </c>
      <c r="D785">
        <f t="shared" si="38"/>
        <v>2020</v>
      </c>
      <c r="E785" s="1">
        <v>44116</v>
      </c>
      <c r="F785" t="s">
        <v>10</v>
      </c>
      <c r="G785" t="s">
        <v>18</v>
      </c>
      <c r="H785" t="str">
        <f t="shared" si="36"/>
        <v>WIN</v>
      </c>
      <c r="I785" t="s">
        <v>10</v>
      </c>
      <c r="J785" t="s">
        <v>79</v>
      </c>
      <c r="K785" t="s">
        <v>206</v>
      </c>
    </row>
    <row r="786" spans="1:11" x14ac:dyDescent="0.3">
      <c r="A786" t="s">
        <v>17</v>
      </c>
      <c r="B786" t="s">
        <v>187</v>
      </c>
      <c r="C786" t="str">
        <f t="shared" si="37"/>
        <v>IPL-2020</v>
      </c>
      <c r="D786">
        <f t="shared" si="38"/>
        <v>2020</v>
      </c>
      <c r="E786" s="1">
        <v>44117</v>
      </c>
      <c r="F786" t="s">
        <v>17</v>
      </c>
      <c r="G786" t="s">
        <v>18</v>
      </c>
      <c r="H786" t="str">
        <f t="shared" si="36"/>
        <v>WIN</v>
      </c>
      <c r="I786" t="s">
        <v>17</v>
      </c>
      <c r="J786" t="s">
        <v>167</v>
      </c>
      <c r="K786" t="s">
        <v>208</v>
      </c>
    </row>
    <row r="787" spans="1:11" x14ac:dyDescent="0.3">
      <c r="A787" t="s">
        <v>281</v>
      </c>
      <c r="B787" t="s">
        <v>22</v>
      </c>
      <c r="C787" t="str">
        <f t="shared" si="37"/>
        <v>IPL-2020</v>
      </c>
      <c r="D787">
        <f t="shared" si="38"/>
        <v>2020</v>
      </c>
      <c r="E787" s="1">
        <v>44118</v>
      </c>
      <c r="F787" t="s">
        <v>281</v>
      </c>
      <c r="G787" t="s">
        <v>18</v>
      </c>
      <c r="H787" t="str">
        <f t="shared" si="36"/>
        <v>WIN</v>
      </c>
      <c r="I787" t="s">
        <v>281</v>
      </c>
      <c r="J787" t="s">
        <v>297</v>
      </c>
      <c r="K787" t="s">
        <v>208</v>
      </c>
    </row>
    <row r="788" spans="1:11" x14ac:dyDescent="0.3">
      <c r="A788" t="s">
        <v>10</v>
      </c>
      <c r="B788" t="s">
        <v>16</v>
      </c>
      <c r="C788" t="str">
        <f t="shared" si="37"/>
        <v>IPL-2020</v>
      </c>
      <c r="D788">
        <f t="shared" si="38"/>
        <v>2020</v>
      </c>
      <c r="E788" s="1">
        <v>44119</v>
      </c>
      <c r="F788" t="s">
        <v>10</v>
      </c>
      <c r="G788" t="s">
        <v>18</v>
      </c>
      <c r="H788" t="str">
        <f t="shared" si="36"/>
        <v>LOSS</v>
      </c>
      <c r="I788" t="s">
        <v>16</v>
      </c>
      <c r="J788" t="s">
        <v>265</v>
      </c>
      <c r="K788" t="s">
        <v>206</v>
      </c>
    </row>
    <row r="789" spans="1:11" x14ac:dyDescent="0.3">
      <c r="A789" t="s">
        <v>11</v>
      </c>
      <c r="B789" t="s">
        <v>25</v>
      </c>
      <c r="C789" t="str">
        <f t="shared" si="37"/>
        <v>IPL-2020</v>
      </c>
      <c r="D789">
        <f t="shared" si="38"/>
        <v>2020</v>
      </c>
      <c r="E789" s="1">
        <v>44120</v>
      </c>
      <c r="F789" t="s">
        <v>11</v>
      </c>
      <c r="G789" t="s">
        <v>18</v>
      </c>
      <c r="H789" t="str">
        <f t="shared" si="36"/>
        <v>LOSS</v>
      </c>
      <c r="I789" t="s">
        <v>25</v>
      </c>
      <c r="J789" t="s">
        <v>236</v>
      </c>
      <c r="K789" t="s">
        <v>204</v>
      </c>
    </row>
    <row r="790" spans="1:11" x14ac:dyDescent="0.3">
      <c r="A790" t="s">
        <v>17</v>
      </c>
      <c r="B790" t="s">
        <v>281</v>
      </c>
      <c r="C790" t="str">
        <f t="shared" si="37"/>
        <v>IPL-2020</v>
      </c>
      <c r="D790">
        <f t="shared" si="38"/>
        <v>2020</v>
      </c>
      <c r="E790" s="1">
        <v>44121</v>
      </c>
      <c r="F790" t="s">
        <v>17</v>
      </c>
      <c r="G790" t="s">
        <v>18</v>
      </c>
      <c r="H790" t="str">
        <f t="shared" si="36"/>
        <v>LOSS</v>
      </c>
      <c r="I790" t="s">
        <v>281</v>
      </c>
      <c r="J790" t="s">
        <v>162</v>
      </c>
      <c r="K790" t="s">
        <v>206</v>
      </c>
    </row>
    <row r="791" spans="1:11" x14ac:dyDescent="0.3">
      <c r="A791" t="s">
        <v>22</v>
      </c>
      <c r="B791" t="s">
        <v>10</v>
      </c>
      <c r="C791" t="str">
        <f t="shared" si="37"/>
        <v>IPL-2020</v>
      </c>
      <c r="D791">
        <f t="shared" si="38"/>
        <v>2020</v>
      </c>
      <c r="E791" s="1">
        <v>44121</v>
      </c>
      <c r="F791" t="s">
        <v>22</v>
      </c>
      <c r="G791" t="s">
        <v>18</v>
      </c>
      <c r="H791" t="str">
        <f t="shared" si="36"/>
        <v>LOSS</v>
      </c>
      <c r="I791" t="s">
        <v>10</v>
      </c>
      <c r="J791" t="s">
        <v>79</v>
      </c>
      <c r="K791" t="s">
        <v>208</v>
      </c>
    </row>
    <row r="792" spans="1:11" x14ac:dyDescent="0.3">
      <c r="A792" t="s">
        <v>11</v>
      </c>
      <c r="B792" t="s">
        <v>187</v>
      </c>
      <c r="C792" t="str">
        <f t="shared" si="37"/>
        <v>IPL-2020</v>
      </c>
      <c r="D792">
        <f t="shared" si="38"/>
        <v>2020</v>
      </c>
      <c r="E792" s="1">
        <v>44122</v>
      </c>
      <c r="F792" t="s">
        <v>187</v>
      </c>
      <c r="G792" t="s">
        <v>12</v>
      </c>
      <c r="H792" t="str">
        <f t="shared" si="36"/>
        <v>LOSS</v>
      </c>
      <c r="J792" t="s">
        <v>258</v>
      </c>
      <c r="K792" t="s">
        <v>204</v>
      </c>
    </row>
    <row r="793" spans="1:11" x14ac:dyDescent="0.3">
      <c r="A793" t="s">
        <v>25</v>
      </c>
      <c r="B793" t="s">
        <v>16</v>
      </c>
      <c r="C793" t="str">
        <f t="shared" si="37"/>
        <v>IPL-2020</v>
      </c>
      <c r="D793">
        <f t="shared" si="38"/>
        <v>2020</v>
      </c>
      <c r="E793" s="1">
        <v>44122</v>
      </c>
      <c r="F793" t="s">
        <v>25</v>
      </c>
      <c r="G793" t="s">
        <v>18</v>
      </c>
      <c r="H793" t="str">
        <f t="shared" si="36"/>
        <v>LOSS</v>
      </c>
      <c r="J793" t="s">
        <v>265</v>
      </c>
      <c r="K793" t="s">
        <v>208</v>
      </c>
    </row>
    <row r="794" spans="1:11" x14ac:dyDescent="0.3">
      <c r="A794" t="s">
        <v>17</v>
      </c>
      <c r="B794" t="s">
        <v>22</v>
      </c>
      <c r="C794" t="str">
        <f t="shared" si="37"/>
        <v>IPL-2020</v>
      </c>
      <c r="D794">
        <f t="shared" si="38"/>
        <v>2020</v>
      </c>
      <c r="E794" s="1">
        <v>44123</v>
      </c>
      <c r="F794" t="s">
        <v>17</v>
      </c>
      <c r="G794" t="s">
        <v>18</v>
      </c>
      <c r="H794" t="str">
        <f t="shared" si="36"/>
        <v>LOSS</v>
      </c>
      <c r="I794" t="s">
        <v>22</v>
      </c>
      <c r="J794" t="s">
        <v>257</v>
      </c>
      <c r="K794" t="s">
        <v>204</v>
      </c>
    </row>
    <row r="795" spans="1:11" x14ac:dyDescent="0.3">
      <c r="A795" t="s">
        <v>281</v>
      </c>
      <c r="B795" t="s">
        <v>16</v>
      </c>
      <c r="C795" t="str">
        <f t="shared" si="37"/>
        <v>IPL-2020</v>
      </c>
      <c r="D795">
        <f t="shared" si="38"/>
        <v>2020</v>
      </c>
      <c r="E795" s="1">
        <v>44124</v>
      </c>
      <c r="F795" t="s">
        <v>281</v>
      </c>
      <c r="G795" t="s">
        <v>18</v>
      </c>
      <c r="H795" t="str">
        <f t="shared" si="36"/>
        <v>LOSS</v>
      </c>
      <c r="I795" t="s">
        <v>16</v>
      </c>
      <c r="J795" t="s">
        <v>162</v>
      </c>
      <c r="K795" t="s">
        <v>208</v>
      </c>
    </row>
    <row r="796" spans="1:11" x14ac:dyDescent="0.3">
      <c r="A796" t="s">
        <v>11</v>
      </c>
      <c r="B796" t="s">
        <v>10</v>
      </c>
      <c r="C796" t="str">
        <f t="shared" si="37"/>
        <v>IPL-2020</v>
      </c>
      <c r="D796">
        <f t="shared" si="38"/>
        <v>2020</v>
      </c>
      <c r="E796" s="1">
        <v>44125</v>
      </c>
      <c r="F796" t="s">
        <v>11</v>
      </c>
      <c r="G796" t="s">
        <v>18</v>
      </c>
      <c r="H796" t="str">
        <f t="shared" si="36"/>
        <v>LOSS</v>
      </c>
      <c r="I796" t="s">
        <v>10</v>
      </c>
      <c r="J796" t="s">
        <v>261</v>
      </c>
      <c r="K796" t="s">
        <v>204</v>
      </c>
    </row>
    <row r="797" spans="1:11" x14ac:dyDescent="0.3">
      <c r="A797" t="s">
        <v>22</v>
      </c>
      <c r="B797" t="s">
        <v>187</v>
      </c>
      <c r="C797" t="str">
        <f t="shared" si="37"/>
        <v>IPL-2020</v>
      </c>
      <c r="D797">
        <f t="shared" si="38"/>
        <v>2020</v>
      </c>
      <c r="E797" s="1">
        <v>44126</v>
      </c>
      <c r="F797" t="s">
        <v>187</v>
      </c>
      <c r="G797" t="s">
        <v>12</v>
      </c>
      <c r="H797" t="str">
        <f t="shared" si="36"/>
        <v>WIN</v>
      </c>
      <c r="I797" t="s">
        <v>187</v>
      </c>
      <c r="J797" t="s">
        <v>106</v>
      </c>
      <c r="K797" t="s">
        <v>208</v>
      </c>
    </row>
    <row r="798" spans="1:11" x14ac:dyDescent="0.3">
      <c r="A798" t="s">
        <v>17</v>
      </c>
      <c r="B798" t="s">
        <v>25</v>
      </c>
      <c r="C798" t="str">
        <f t="shared" si="37"/>
        <v>IPL-2020</v>
      </c>
      <c r="D798">
        <f t="shared" si="38"/>
        <v>2020</v>
      </c>
      <c r="E798" s="1">
        <v>44127</v>
      </c>
      <c r="F798" t="s">
        <v>25</v>
      </c>
      <c r="G798" t="s">
        <v>12</v>
      </c>
      <c r="H798" t="str">
        <f t="shared" si="36"/>
        <v>WIN</v>
      </c>
      <c r="I798" t="s">
        <v>25</v>
      </c>
      <c r="J798" t="s">
        <v>225</v>
      </c>
      <c r="K798" t="s">
        <v>206</v>
      </c>
    </row>
    <row r="799" spans="1:11" x14ac:dyDescent="0.3">
      <c r="A799" t="s">
        <v>11</v>
      </c>
      <c r="B799" t="s">
        <v>281</v>
      </c>
      <c r="C799" t="str">
        <f t="shared" si="37"/>
        <v>IPL-2020</v>
      </c>
      <c r="D799">
        <f t="shared" si="38"/>
        <v>2020</v>
      </c>
      <c r="E799" s="1">
        <v>44128</v>
      </c>
      <c r="F799" t="s">
        <v>281</v>
      </c>
      <c r="G799" t="s">
        <v>12</v>
      </c>
      <c r="H799" t="str">
        <f t="shared" si="36"/>
        <v>LOSS</v>
      </c>
      <c r="I799" t="s">
        <v>11</v>
      </c>
      <c r="J799" t="s">
        <v>298</v>
      </c>
      <c r="K799" t="s">
        <v>204</v>
      </c>
    </row>
    <row r="800" spans="1:11" x14ac:dyDescent="0.3">
      <c r="A800" t="s">
        <v>16</v>
      </c>
      <c r="B800" t="s">
        <v>187</v>
      </c>
      <c r="C800" t="str">
        <f t="shared" si="37"/>
        <v>IPL-2020</v>
      </c>
      <c r="D800">
        <f t="shared" si="38"/>
        <v>2020</v>
      </c>
      <c r="E800" s="1">
        <v>44128</v>
      </c>
      <c r="F800" t="s">
        <v>187</v>
      </c>
      <c r="G800" t="s">
        <v>12</v>
      </c>
      <c r="H800" t="str">
        <f t="shared" si="36"/>
        <v>LOSS</v>
      </c>
      <c r="I800" t="s">
        <v>16</v>
      </c>
      <c r="J800" t="s">
        <v>299</v>
      </c>
      <c r="K800" t="s">
        <v>208</v>
      </c>
    </row>
    <row r="801" spans="1:11" x14ac:dyDescent="0.3">
      <c r="A801" t="s">
        <v>25</v>
      </c>
      <c r="B801" t="s">
        <v>22</v>
      </c>
      <c r="C801" t="str">
        <f t="shared" si="37"/>
        <v>IPL-2020</v>
      </c>
      <c r="D801">
        <f t="shared" si="38"/>
        <v>2020</v>
      </c>
      <c r="E801" s="1">
        <v>44129</v>
      </c>
      <c r="F801" t="s">
        <v>25</v>
      </c>
      <c r="G801" t="s">
        <v>18</v>
      </c>
      <c r="H801" t="str">
        <f t="shared" si="36"/>
        <v>LOSS</v>
      </c>
      <c r="I801" t="s">
        <v>22</v>
      </c>
      <c r="J801" t="s">
        <v>255</v>
      </c>
      <c r="K801" t="s">
        <v>204</v>
      </c>
    </row>
    <row r="802" spans="1:11" x14ac:dyDescent="0.3">
      <c r="A802" t="s">
        <v>10</v>
      </c>
      <c r="B802" t="s">
        <v>17</v>
      </c>
      <c r="C802" t="str">
        <f t="shared" si="37"/>
        <v>IPL-2020</v>
      </c>
      <c r="D802">
        <f t="shared" si="38"/>
        <v>2020</v>
      </c>
      <c r="E802" s="1">
        <v>44129</v>
      </c>
      <c r="F802" t="s">
        <v>10</v>
      </c>
      <c r="G802" t="s">
        <v>18</v>
      </c>
      <c r="H802" t="str">
        <f t="shared" si="36"/>
        <v>LOSS</v>
      </c>
      <c r="I802" t="s">
        <v>17</v>
      </c>
      <c r="J802" t="s">
        <v>300</v>
      </c>
      <c r="K802" t="s">
        <v>208</v>
      </c>
    </row>
    <row r="803" spans="1:11" x14ac:dyDescent="0.3">
      <c r="A803" t="s">
        <v>11</v>
      </c>
      <c r="B803" t="s">
        <v>16</v>
      </c>
      <c r="C803" t="str">
        <f t="shared" si="37"/>
        <v>IPL-2020</v>
      </c>
      <c r="D803">
        <f t="shared" si="38"/>
        <v>2020</v>
      </c>
      <c r="E803" s="1">
        <v>44130</v>
      </c>
      <c r="F803" t="s">
        <v>16</v>
      </c>
      <c r="G803" t="s">
        <v>12</v>
      </c>
      <c r="H803" t="str">
        <f t="shared" si="36"/>
        <v>WIN</v>
      </c>
      <c r="I803" t="s">
        <v>16</v>
      </c>
      <c r="J803" t="s">
        <v>77</v>
      </c>
      <c r="K803" t="s">
        <v>206</v>
      </c>
    </row>
    <row r="804" spans="1:11" x14ac:dyDescent="0.3">
      <c r="A804" t="s">
        <v>187</v>
      </c>
      <c r="B804" t="s">
        <v>281</v>
      </c>
      <c r="C804" t="str">
        <f t="shared" si="37"/>
        <v>IPL-2020</v>
      </c>
      <c r="D804">
        <f t="shared" si="38"/>
        <v>2020</v>
      </c>
      <c r="E804" s="1">
        <v>44131</v>
      </c>
      <c r="F804" t="s">
        <v>281</v>
      </c>
      <c r="G804" t="s">
        <v>12</v>
      </c>
      <c r="H804" t="str">
        <f t="shared" si="36"/>
        <v>LOSS</v>
      </c>
      <c r="I804" t="s">
        <v>187</v>
      </c>
      <c r="J804" t="s">
        <v>161</v>
      </c>
      <c r="K804" t="s">
        <v>208</v>
      </c>
    </row>
    <row r="805" spans="1:11" x14ac:dyDescent="0.3">
      <c r="A805" t="s">
        <v>10</v>
      </c>
      <c r="B805" t="s">
        <v>25</v>
      </c>
      <c r="C805" t="str">
        <f t="shared" si="37"/>
        <v>IPL-2020</v>
      </c>
      <c r="D805">
        <f t="shared" si="38"/>
        <v>2020</v>
      </c>
      <c r="E805" s="1">
        <v>44132</v>
      </c>
      <c r="F805" t="s">
        <v>25</v>
      </c>
      <c r="G805" t="s">
        <v>12</v>
      </c>
      <c r="H805" t="str">
        <f t="shared" si="36"/>
        <v>WIN</v>
      </c>
      <c r="I805" t="s">
        <v>25</v>
      </c>
      <c r="J805" t="s">
        <v>238</v>
      </c>
      <c r="K805" t="s">
        <v>204</v>
      </c>
    </row>
    <row r="806" spans="1:11" x14ac:dyDescent="0.3">
      <c r="A806" t="s">
        <v>11</v>
      </c>
      <c r="B806" t="s">
        <v>17</v>
      </c>
      <c r="C806" t="str">
        <f t="shared" si="37"/>
        <v>IPL-2020</v>
      </c>
      <c r="D806">
        <f t="shared" si="38"/>
        <v>2020</v>
      </c>
      <c r="E806" s="1">
        <v>44133</v>
      </c>
      <c r="F806" t="s">
        <v>17</v>
      </c>
      <c r="G806" t="s">
        <v>12</v>
      </c>
      <c r="H806" t="str">
        <f t="shared" si="36"/>
        <v>WIN</v>
      </c>
      <c r="I806" t="s">
        <v>17</v>
      </c>
      <c r="J806" t="s">
        <v>300</v>
      </c>
      <c r="K806" t="s">
        <v>208</v>
      </c>
    </row>
    <row r="807" spans="1:11" x14ac:dyDescent="0.3">
      <c r="A807" t="s">
        <v>16</v>
      </c>
      <c r="B807" t="s">
        <v>22</v>
      </c>
      <c r="C807" t="str">
        <f t="shared" si="37"/>
        <v>IPL-2020</v>
      </c>
      <c r="D807">
        <f t="shared" si="38"/>
        <v>2020</v>
      </c>
      <c r="E807" s="1">
        <v>44134</v>
      </c>
      <c r="F807" t="s">
        <v>22</v>
      </c>
      <c r="G807" t="s">
        <v>12</v>
      </c>
      <c r="H807" t="str">
        <f t="shared" si="36"/>
        <v>WIN</v>
      </c>
      <c r="I807" t="s">
        <v>22</v>
      </c>
      <c r="J807" t="s">
        <v>255</v>
      </c>
      <c r="K807" t="s">
        <v>204</v>
      </c>
    </row>
    <row r="808" spans="1:11" x14ac:dyDescent="0.3">
      <c r="A808" t="s">
        <v>281</v>
      </c>
      <c r="B808" t="s">
        <v>25</v>
      </c>
      <c r="C808" t="str">
        <f t="shared" si="37"/>
        <v>IPL-2020</v>
      </c>
      <c r="D808">
        <f t="shared" si="38"/>
        <v>2020</v>
      </c>
      <c r="E808" s="1">
        <v>44135</v>
      </c>
      <c r="F808" t="s">
        <v>25</v>
      </c>
      <c r="G808" t="s">
        <v>12</v>
      </c>
      <c r="H808" t="str">
        <f t="shared" si="36"/>
        <v>WIN</v>
      </c>
      <c r="I808" t="s">
        <v>25</v>
      </c>
      <c r="J808" t="s">
        <v>277</v>
      </c>
      <c r="K808" t="s">
        <v>208</v>
      </c>
    </row>
    <row r="809" spans="1:11" x14ac:dyDescent="0.3">
      <c r="A809" t="s">
        <v>10</v>
      </c>
      <c r="B809" t="s">
        <v>187</v>
      </c>
      <c r="C809" t="str">
        <f t="shared" si="37"/>
        <v>IPL-2020</v>
      </c>
      <c r="D809">
        <f t="shared" si="38"/>
        <v>2020</v>
      </c>
      <c r="E809" s="1">
        <v>44135</v>
      </c>
      <c r="F809" t="s">
        <v>187</v>
      </c>
      <c r="G809" t="s">
        <v>12</v>
      </c>
      <c r="H809" t="str">
        <f t="shared" si="36"/>
        <v>WIN</v>
      </c>
      <c r="I809" t="s">
        <v>187</v>
      </c>
      <c r="J809" t="s">
        <v>212</v>
      </c>
      <c r="K809" t="s">
        <v>206</v>
      </c>
    </row>
    <row r="810" spans="1:11" x14ac:dyDescent="0.3">
      <c r="A810" t="s">
        <v>11</v>
      </c>
      <c r="B810" t="s">
        <v>22</v>
      </c>
      <c r="C810" t="str">
        <f t="shared" si="37"/>
        <v>IPL-2020</v>
      </c>
      <c r="D810">
        <f t="shared" si="38"/>
        <v>2020</v>
      </c>
      <c r="E810" s="1">
        <v>44136</v>
      </c>
      <c r="F810" t="s">
        <v>22</v>
      </c>
      <c r="G810" t="s">
        <v>12</v>
      </c>
      <c r="H810" t="str">
        <f t="shared" si="36"/>
        <v>LOSS</v>
      </c>
      <c r="I810" t="s">
        <v>11</v>
      </c>
      <c r="J810" t="s">
        <v>301</v>
      </c>
      <c r="K810" t="s">
        <v>208</v>
      </c>
    </row>
    <row r="811" spans="1:11" x14ac:dyDescent="0.3">
      <c r="A811" t="s">
        <v>16</v>
      </c>
      <c r="B811" t="s">
        <v>17</v>
      </c>
      <c r="C811" t="str">
        <f t="shared" si="37"/>
        <v>IPL-2020</v>
      </c>
      <c r="D811">
        <f t="shared" si="38"/>
        <v>2020</v>
      </c>
      <c r="E811" s="1">
        <v>44136</v>
      </c>
      <c r="F811" t="s">
        <v>17</v>
      </c>
      <c r="G811" t="s">
        <v>12</v>
      </c>
      <c r="H811" t="str">
        <f t="shared" si="36"/>
        <v>WIN</v>
      </c>
      <c r="I811" t="s">
        <v>17</v>
      </c>
      <c r="J811" t="s">
        <v>300</v>
      </c>
      <c r="K811" t="s">
        <v>204</v>
      </c>
    </row>
    <row r="812" spans="1:11" x14ac:dyDescent="0.3">
      <c r="A812" t="s">
        <v>10</v>
      </c>
      <c r="B812" t="s">
        <v>281</v>
      </c>
      <c r="C812" t="str">
        <f t="shared" si="37"/>
        <v>IPL-2020</v>
      </c>
      <c r="D812">
        <f t="shared" si="38"/>
        <v>2020</v>
      </c>
      <c r="E812" s="1">
        <v>44137</v>
      </c>
      <c r="F812" t="s">
        <v>281</v>
      </c>
      <c r="G812" t="s">
        <v>12</v>
      </c>
      <c r="H812" t="str">
        <f t="shared" si="36"/>
        <v>WIN</v>
      </c>
      <c r="I812" t="s">
        <v>281</v>
      </c>
      <c r="J812" t="s">
        <v>297</v>
      </c>
      <c r="K812" t="s">
        <v>204</v>
      </c>
    </row>
    <row r="813" spans="1:11" x14ac:dyDescent="0.3">
      <c r="A813" t="s">
        <v>25</v>
      </c>
      <c r="B813" t="s">
        <v>187</v>
      </c>
      <c r="C813" t="str">
        <f t="shared" si="37"/>
        <v>IPL-2020</v>
      </c>
      <c r="D813">
        <f t="shared" si="38"/>
        <v>2020</v>
      </c>
      <c r="E813" s="1">
        <v>44138</v>
      </c>
      <c r="F813" t="s">
        <v>187</v>
      </c>
      <c r="G813" t="s">
        <v>12</v>
      </c>
      <c r="H813" t="str">
        <f t="shared" si="36"/>
        <v>WIN</v>
      </c>
      <c r="I813" t="s">
        <v>187</v>
      </c>
      <c r="J813" t="s">
        <v>177</v>
      </c>
      <c r="K813" t="s">
        <v>206</v>
      </c>
    </row>
    <row r="814" spans="1:11" x14ac:dyDescent="0.3">
      <c r="A814" t="s">
        <v>25</v>
      </c>
      <c r="B814" t="s">
        <v>281</v>
      </c>
      <c r="C814" t="str">
        <f t="shared" si="37"/>
        <v>IPL-2020</v>
      </c>
      <c r="D814">
        <f t="shared" si="38"/>
        <v>2020</v>
      </c>
      <c r="E814" s="1">
        <v>44140</v>
      </c>
      <c r="F814" t="s">
        <v>281</v>
      </c>
      <c r="G814" t="s">
        <v>12</v>
      </c>
      <c r="H814" t="str">
        <f t="shared" si="36"/>
        <v>LOSS</v>
      </c>
      <c r="I814" t="s">
        <v>25</v>
      </c>
      <c r="J814" t="s">
        <v>253</v>
      </c>
      <c r="K814" t="s">
        <v>208</v>
      </c>
    </row>
    <row r="815" spans="1:11" x14ac:dyDescent="0.3">
      <c r="A815" t="s">
        <v>10</v>
      </c>
      <c r="B815" t="s">
        <v>187</v>
      </c>
      <c r="C815" t="str">
        <f t="shared" si="37"/>
        <v>IPL-2020</v>
      </c>
      <c r="D815">
        <f t="shared" si="38"/>
        <v>2020</v>
      </c>
      <c r="E815" s="1">
        <v>44141</v>
      </c>
      <c r="F815" t="s">
        <v>187</v>
      </c>
      <c r="G815" t="s">
        <v>12</v>
      </c>
      <c r="H815" t="str">
        <f t="shared" si="36"/>
        <v>WIN</v>
      </c>
      <c r="I815" t="s">
        <v>187</v>
      </c>
      <c r="J815" t="s">
        <v>256</v>
      </c>
      <c r="K815" t="s">
        <v>204</v>
      </c>
    </row>
    <row r="816" spans="1:11" x14ac:dyDescent="0.3">
      <c r="A816" t="s">
        <v>281</v>
      </c>
      <c r="B816" t="s">
        <v>187</v>
      </c>
      <c r="C816" t="str">
        <f t="shared" si="37"/>
        <v>IPL-2020</v>
      </c>
      <c r="D816">
        <f t="shared" si="38"/>
        <v>2020</v>
      </c>
      <c r="E816" s="1">
        <v>44143</v>
      </c>
      <c r="F816" t="s">
        <v>281</v>
      </c>
      <c r="G816" t="s">
        <v>18</v>
      </c>
      <c r="H816" t="str">
        <f t="shared" si="36"/>
        <v>WIN</v>
      </c>
      <c r="I816" t="s">
        <v>281</v>
      </c>
      <c r="J816" t="s">
        <v>243</v>
      </c>
      <c r="K816" t="s">
        <v>204</v>
      </c>
    </row>
    <row r="817" spans="1:11" x14ac:dyDescent="0.3">
      <c r="A817" t="s">
        <v>281</v>
      </c>
      <c r="B817" t="s">
        <v>25</v>
      </c>
      <c r="C817" t="str">
        <f t="shared" si="37"/>
        <v>IPL-2020</v>
      </c>
      <c r="D817">
        <f t="shared" si="38"/>
        <v>2020</v>
      </c>
      <c r="E817" s="1">
        <v>44145</v>
      </c>
      <c r="F817" t="s">
        <v>281</v>
      </c>
      <c r="G817" t="s">
        <v>18</v>
      </c>
      <c r="H817" t="str">
        <f t="shared" si="36"/>
        <v>LOSS</v>
      </c>
      <c r="I817" t="s">
        <v>25</v>
      </c>
      <c r="J817" t="s">
        <v>225</v>
      </c>
      <c r="K817" t="s">
        <v>208</v>
      </c>
    </row>
    <row r="818" spans="1:11" x14ac:dyDescent="0.3">
      <c r="A818" t="s">
        <v>25</v>
      </c>
      <c r="B818" t="s">
        <v>10</v>
      </c>
      <c r="C818" t="str">
        <f t="shared" si="37"/>
        <v>IPL-2021</v>
      </c>
      <c r="D818">
        <f t="shared" si="38"/>
        <v>2021</v>
      </c>
      <c r="E818" s="1">
        <v>44295</v>
      </c>
      <c r="F818" t="s">
        <v>10</v>
      </c>
      <c r="G818" t="s">
        <v>12</v>
      </c>
      <c r="H818" t="str">
        <f t="shared" si="36"/>
        <v>WIN</v>
      </c>
      <c r="I818" t="s">
        <v>10</v>
      </c>
      <c r="J818" t="s">
        <v>262</v>
      </c>
      <c r="K818" t="s">
        <v>302</v>
      </c>
    </row>
    <row r="819" spans="1:11" x14ac:dyDescent="0.3">
      <c r="A819" t="s">
        <v>17</v>
      </c>
      <c r="B819" t="s">
        <v>281</v>
      </c>
      <c r="C819" t="str">
        <f t="shared" si="37"/>
        <v>IPL-2021</v>
      </c>
      <c r="D819">
        <f t="shared" si="38"/>
        <v>2021</v>
      </c>
      <c r="E819" s="1">
        <v>44296</v>
      </c>
      <c r="F819" t="s">
        <v>281</v>
      </c>
      <c r="G819" t="s">
        <v>12</v>
      </c>
      <c r="H819" t="str">
        <f t="shared" si="36"/>
        <v>WIN</v>
      </c>
      <c r="I819" t="s">
        <v>281</v>
      </c>
      <c r="J819" t="s">
        <v>162</v>
      </c>
      <c r="K819" t="s">
        <v>303</v>
      </c>
    </row>
    <row r="820" spans="1:11" x14ac:dyDescent="0.3">
      <c r="A820" t="s">
        <v>11</v>
      </c>
      <c r="B820" t="s">
        <v>187</v>
      </c>
      <c r="C820" t="str">
        <f t="shared" si="37"/>
        <v>IPL-2021</v>
      </c>
      <c r="D820">
        <f t="shared" si="38"/>
        <v>2021</v>
      </c>
      <c r="E820" s="1">
        <v>44297</v>
      </c>
      <c r="F820" t="s">
        <v>187</v>
      </c>
      <c r="G820" t="s">
        <v>12</v>
      </c>
      <c r="H820" t="str">
        <f t="shared" si="36"/>
        <v>LOSS</v>
      </c>
      <c r="I820" t="s">
        <v>11</v>
      </c>
      <c r="J820" t="s">
        <v>252</v>
      </c>
      <c r="K820" t="s">
        <v>302</v>
      </c>
    </row>
    <row r="821" spans="1:11" x14ac:dyDescent="0.3">
      <c r="A821" t="s">
        <v>304</v>
      </c>
      <c r="B821" t="s">
        <v>22</v>
      </c>
      <c r="C821" t="str">
        <f t="shared" si="37"/>
        <v>IPL-2021</v>
      </c>
      <c r="D821">
        <f t="shared" si="38"/>
        <v>2021</v>
      </c>
      <c r="E821" s="1">
        <v>44298</v>
      </c>
      <c r="F821" t="s">
        <v>22</v>
      </c>
      <c r="G821" t="s">
        <v>12</v>
      </c>
      <c r="H821" t="str">
        <f t="shared" si="36"/>
        <v>LOSS</v>
      </c>
      <c r="I821" t="s">
        <v>304</v>
      </c>
      <c r="J821" t="s">
        <v>196</v>
      </c>
      <c r="K821" t="s">
        <v>303</v>
      </c>
    </row>
    <row r="822" spans="1:11" x14ac:dyDescent="0.3">
      <c r="A822" t="s">
        <v>25</v>
      </c>
      <c r="B822" t="s">
        <v>11</v>
      </c>
      <c r="C822" t="str">
        <f t="shared" si="37"/>
        <v>IPL-2021</v>
      </c>
      <c r="D822">
        <f t="shared" si="38"/>
        <v>2021</v>
      </c>
      <c r="E822" s="1">
        <v>44299</v>
      </c>
      <c r="F822" t="s">
        <v>11</v>
      </c>
      <c r="G822" t="s">
        <v>12</v>
      </c>
      <c r="H822" t="str">
        <f t="shared" si="36"/>
        <v>LOSS</v>
      </c>
      <c r="I822" t="s">
        <v>25</v>
      </c>
      <c r="J822" t="s">
        <v>305</v>
      </c>
      <c r="K822" t="s">
        <v>302</v>
      </c>
    </row>
    <row r="823" spans="1:11" x14ac:dyDescent="0.3">
      <c r="A823" t="s">
        <v>10</v>
      </c>
      <c r="B823" t="s">
        <v>187</v>
      </c>
      <c r="C823" t="str">
        <f t="shared" si="37"/>
        <v>IPL-2021</v>
      </c>
      <c r="D823">
        <f t="shared" si="38"/>
        <v>2021</v>
      </c>
      <c r="E823" s="1">
        <v>44300</v>
      </c>
      <c r="F823" t="s">
        <v>187</v>
      </c>
      <c r="G823" t="s">
        <v>12</v>
      </c>
      <c r="H823" t="str">
        <f t="shared" si="36"/>
        <v>LOSS</v>
      </c>
      <c r="I823" t="s">
        <v>10</v>
      </c>
      <c r="J823" t="s">
        <v>207</v>
      </c>
      <c r="K823" t="s">
        <v>302</v>
      </c>
    </row>
    <row r="824" spans="1:11" x14ac:dyDescent="0.3">
      <c r="A824" t="s">
        <v>281</v>
      </c>
      <c r="B824" t="s">
        <v>22</v>
      </c>
      <c r="C824" t="str">
        <f t="shared" si="37"/>
        <v>IPL-2021</v>
      </c>
      <c r="D824">
        <f t="shared" si="38"/>
        <v>2021</v>
      </c>
      <c r="E824" s="1">
        <v>44301</v>
      </c>
      <c r="F824" t="s">
        <v>22</v>
      </c>
      <c r="G824" t="s">
        <v>12</v>
      </c>
      <c r="H824" t="str">
        <f t="shared" si="36"/>
        <v>WIN</v>
      </c>
      <c r="I824" t="s">
        <v>22</v>
      </c>
      <c r="J824" t="s">
        <v>137</v>
      </c>
      <c r="K824" t="s">
        <v>303</v>
      </c>
    </row>
    <row r="825" spans="1:11" x14ac:dyDescent="0.3">
      <c r="A825" t="s">
        <v>304</v>
      </c>
      <c r="B825" t="s">
        <v>17</v>
      </c>
      <c r="C825" t="str">
        <f t="shared" si="37"/>
        <v>IPL-2021</v>
      </c>
      <c r="D825">
        <f t="shared" si="38"/>
        <v>2021</v>
      </c>
      <c r="E825" s="1">
        <v>44302</v>
      </c>
      <c r="F825" t="s">
        <v>17</v>
      </c>
      <c r="G825" t="s">
        <v>12</v>
      </c>
      <c r="H825" t="str">
        <f t="shared" si="36"/>
        <v>WIN</v>
      </c>
      <c r="I825" t="s">
        <v>17</v>
      </c>
      <c r="J825" t="s">
        <v>288</v>
      </c>
      <c r="K825" t="s">
        <v>303</v>
      </c>
    </row>
    <row r="826" spans="1:11" x14ac:dyDescent="0.3">
      <c r="A826" t="s">
        <v>25</v>
      </c>
      <c r="B826" t="s">
        <v>187</v>
      </c>
      <c r="C826" t="str">
        <f t="shared" si="37"/>
        <v>IPL-2021</v>
      </c>
      <c r="D826">
        <f t="shared" si="38"/>
        <v>2021</v>
      </c>
      <c r="E826" s="1">
        <v>44303</v>
      </c>
      <c r="F826" t="s">
        <v>25</v>
      </c>
      <c r="G826" t="s">
        <v>18</v>
      </c>
      <c r="H826" t="str">
        <f t="shared" si="36"/>
        <v>WIN</v>
      </c>
      <c r="I826" t="s">
        <v>25</v>
      </c>
      <c r="J826" t="s">
        <v>134</v>
      </c>
      <c r="K826" t="s">
        <v>302</v>
      </c>
    </row>
    <row r="827" spans="1:11" x14ac:dyDescent="0.3">
      <c r="A827" t="s">
        <v>304</v>
      </c>
      <c r="B827" t="s">
        <v>281</v>
      </c>
      <c r="C827" t="str">
        <f t="shared" si="37"/>
        <v>IPL-2021</v>
      </c>
      <c r="D827">
        <f t="shared" si="38"/>
        <v>2021</v>
      </c>
      <c r="E827" s="1">
        <v>44304</v>
      </c>
      <c r="F827" t="s">
        <v>281</v>
      </c>
      <c r="G827" t="s">
        <v>12</v>
      </c>
      <c r="H827" t="str">
        <f t="shared" si="36"/>
        <v>WIN</v>
      </c>
      <c r="I827" t="s">
        <v>281</v>
      </c>
      <c r="J827" t="s">
        <v>162</v>
      </c>
      <c r="K827" t="s">
        <v>303</v>
      </c>
    </row>
    <row r="828" spans="1:11" x14ac:dyDescent="0.3">
      <c r="A828" t="s">
        <v>10</v>
      </c>
      <c r="B828" t="s">
        <v>11</v>
      </c>
      <c r="C828" t="str">
        <f t="shared" si="37"/>
        <v>IPL-2021</v>
      </c>
      <c r="D828">
        <f t="shared" si="38"/>
        <v>2021</v>
      </c>
      <c r="E828" s="1">
        <v>44304</v>
      </c>
      <c r="F828" t="s">
        <v>10</v>
      </c>
      <c r="G828" t="s">
        <v>18</v>
      </c>
      <c r="H828" t="str">
        <f t="shared" si="36"/>
        <v>WIN</v>
      </c>
      <c r="I828" t="s">
        <v>10</v>
      </c>
      <c r="J828" t="s">
        <v>79</v>
      </c>
      <c r="K828" t="s">
        <v>302</v>
      </c>
    </row>
    <row r="829" spans="1:11" x14ac:dyDescent="0.3">
      <c r="A829" t="s">
        <v>17</v>
      </c>
      <c r="B829" t="s">
        <v>22</v>
      </c>
      <c r="C829" t="str">
        <f t="shared" si="37"/>
        <v>IPL-2021</v>
      </c>
      <c r="D829">
        <f t="shared" si="38"/>
        <v>2021</v>
      </c>
      <c r="E829" s="1">
        <v>44305</v>
      </c>
      <c r="F829" t="s">
        <v>22</v>
      </c>
      <c r="G829" t="s">
        <v>12</v>
      </c>
      <c r="H829" t="str">
        <f t="shared" si="36"/>
        <v>LOSS</v>
      </c>
      <c r="I829" t="s">
        <v>17</v>
      </c>
      <c r="J829" t="s">
        <v>306</v>
      </c>
      <c r="K829" t="s">
        <v>303</v>
      </c>
    </row>
    <row r="830" spans="1:11" x14ac:dyDescent="0.3">
      <c r="A830" t="s">
        <v>25</v>
      </c>
      <c r="B830" t="s">
        <v>281</v>
      </c>
      <c r="C830" t="str">
        <f t="shared" si="37"/>
        <v>IPL-2021</v>
      </c>
      <c r="D830">
        <f t="shared" si="38"/>
        <v>2021</v>
      </c>
      <c r="E830" s="1">
        <v>44306</v>
      </c>
      <c r="F830" t="s">
        <v>25</v>
      </c>
      <c r="G830" t="s">
        <v>18</v>
      </c>
      <c r="H830" t="str">
        <f t="shared" si="36"/>
        <v>LOSS</v>
      </c>
      <c r="I830" t="s">
        <v>281</v>
      </c>
      <c r="J830" t="s">
        <v>57</v>
      </c>
      <c r="K830" t="s">
        <v>302</v>
      </c>
    </row>
    <row r="831" spans="1:11" x14ac:dyDescent="0.3">
      <c r="A831" t="s">
        <v>304</v>
      </c>
      <c r="B831" t="s">
        <v>187</v>
      </c>
      <c r="C831" t="str">
        <f t="shared" si="37"/>
        <v>IPL-2021</v>
      </c>
      <c r="D831">
        <f t="shared" si="38"/>
        <v>2021</v>
      </c>
      <c r="E831" s="1">
        <v>44307</v>
      </c>
      <c r="F831" t="s">
        <v>304</v>
      </c>
      <c r="G831" t="s">
        <v>18</v>
      </c>
      <c r="H831" t="str">
        <f t="shared" si="36"/>
        <v>LOSS</v>
      </c>
      <c r="I831" t="s">
        <v>187</v>
      </c>
      <c r="J831" t="s">
        <v>283</v>
      </c>
      <c r="K831" t="s">
        <v>302</v>
      </c>
    </row>
    <row r="832" spans="1:11" x14ac:dyDescent="0.3">
      <c r="A832" t="s">
        <v>17</v>
      </c>
      <c r="B832" t="s">
        <v>11</v>
      </c>
      <c r="C832" t="str">
        <f t="shared" si="37"/>
        <v>IPL-2021</v>
      </c>
      <c r="D832">
        <f t="shared" si="38"/>
        <v>2021</v>
      </c>
      <c r="E832" s="1">
        <v>44307</v>
      </c>
      <c r="F832" t="s">
        <v>11</v>
      </c>
      <c r="G832" t="s">
        <v>12</v>
      </c>
      <c r="H832" t="str">
        <f t="shared" si="36"/>
        <v>LOSS</v>
      </c>
      <c r="I832" t="s">
        <v>17</v>
      </c>
      <c r="J832" t="s">
        <v>172</v>
      </c>
      <c r="K832" t="s">
        <v>303</v>
      </c>
    </row>
    <row r="833" spans="1:11" x14ac:dyDescent="0.3">
      <c r="A833" t="s">
        <v>22</v>
      </c>
      <c r="B833" t="s">
        <v>10</v>
      </c>
      <c r="C833" t="str">
        <f t="shared" si="37"/>
        <v>IPL-2021</v>
      </c>
      <c r="D833">
        <f t="shared" si="38"/>
        <v>2021</v>
      </c>
      <c r="E833" s="1">
        <v>44308</v>
      </c>
      <c r="F833" t="s">
        <v>10</v>
      </c>
      <c r="G833" t="s">
        <v>12</v>
      </c>
      <c r="H833" t="str">
        <f t="shared" si="36"/>
        <v>WIN</v>
      </c>
      <c r="I833" t="s">
        <v>10</v>
      </c>
      <c r="J833" t="s">
        <v>307</v>
      </c>
      <c r="K833" t="s">
        <v>303</v>
      </c>
    </row>
    <row r="834" spans="1:11" x14ac:dyDescent="0.3">
      <c r="A834" t="s">
        <v>25</v>
      </c>
      <c r="B834" t="s">
        <v>304</v>
      </c>
      <c r="C834" t="str">
        <f t="shared" si="37"/>
        <v>IPL-2021</v>
      </c>
      <c r="D834">
        <f t="shared" si="38"/>
        <v>2021</v>
      </c>
      <c r="E834" s="1">
        <v>44309</v>
      </c>
      <c r="F834" t="s">
        <v>304</v>
      </c>
      <c r="G834" t="s">
        <v>12</v>
      </c>
      <c r="H834" t="str">
        <f t="shared" ref="H834:H897" si="39">IF(F834=I834,"WIN","LOSS")</f>
        <v>WIN</v>
      </c>
      <c r="I834" t="s">
        <v>304</v>
      </c>
      <c r="J834" t="s">
        <v>265</v>
      </c>
      <c r="K834" t="s">
        <v>302</v>
      </c>
    </row>
    <row r="835" spans="1:11" x14ac:dyDescent="0.3">
      <c r="A835" t="s">
        <v>11</v>
      </c>
      <c r="B835" t="s">
        <v>22</v>
      </c>
      <c r="C835" t="str">
        <f t="shared" ref="C835:C898" si="40">_xlfn.CONCAT("IPL-",D835)</f>
        <v>IPL-2021</v>
      </c>
      <c r="D835">
        <f t="shared" ref="D835:D898" si="41">YEAR(E835)</f>
        <v>2021</v>
      </c>
      <c r="E835" s="1">
        <v>44310</v>
      </c>
      <c r="F835" t="s">
        <v>22</v>
      </c>
      <c r="G835" t="s">
        <v>12</v>
      </c>
      <c r="H835" t="str">
        <f t="shared" si="39"/>
        <v>WIN</v>
      </c>
      <c r="I835" t="s">
        <v>22</v>
      </c>
      <c r="J835" t="s">
        <v>240</v>
      </c>
      <c r="K835" t="s">
        <v>303</v>
      </c>
    </row>
    <row r="836" spans="1:11" x14ac:dyDescent="0.3">
      <c r="A836" t="s">
        <v>17</v>
      </c>
      <c r="B836" t="s">
        <v>10</v>
      </c>
      <c r="C836" t="str">
        <f t="shared" si="40"/>
        <v>IPL-2021</v>
      </c>
      <c r="D836">
        <f t="shared" si="41"/>
        <v>2021</v>
      </c>
      <c r="E836" s="1">
        <v>44311</v>
      </c>
      <c r="F836" t="s">
        <v>17</v>
      </c>
      <c r="G836" t="s">
        <v>18</v>
      </c>
      <c r="H836" t="str">
        <f t="shared" si="39"/>
        <v>WIN</v>
      </c>
      <c r="I836" t="s">
        <v>17</v>
      </c>
      <c r="J836" t="s">
        <v>167</v>
      </c>
      <c r="K836" t="s">
        <v>303</v>
      </c>
    </row>
    <row r="837" spans="1:11" x14ac:dyDescent="0.3">
      <c r="A837" t="s">
        <v>281</v>
      </c>
      <c r="B837" t="s">
        <v>187</v>
      </c>
      <c r="C837" t="str">
        <f t="shared" si="40"/>
        <v>IPL-2021</v>
      </c>
      <c r="D837">
        <f t="shared" si="41"/>
        <v>2021</v>
      </c>
      <c r="E837" s="1">
        <v>44311</v>
      </c>
      <c r="F837" t="s">
        <v>281</v>
      </c>
      <c r="G837" t="s">
        <v>18</v>
      </c>
      <c r="H837" t="str">
        <f t="shared" si="39"/>
        <v>LOSS</v>
      </c>
      <c r="J837" t="s">
        <v>282</v>
      </c>
      <c r="K837" t="s">
        <v>302</v>
      </c>
    </row>
    <row r="838" spans="1:11" x14ac:dyDescent="0.3">
      <c r="A838" t="s">
        <v>304</v>
      </c>
      <c r="B838" t="s">
        <v>11</v>
      </c>
      <c r="C838" t="str">
        <f t="shared" si="40"/>
        <v>IPL-2021</v>
      </c>
      <c r="D838">
        <f t="shared" si="41"/>
        <v>2021</v>
      </c>
      <c r="E838" s="1">
        <v>44312</v>
      </c>
      <c r="F838" t="s">
        <v>11</v>
      </c>
      <c r="G838" t="s">
        <v>12</v>
      </c>
      <c r="H838" t="str">
        <f t="shared" si="39"/>
        <v>WIN</v>
      </c>
      <c r="I838" t="s">
        <v>11</v>
      </c>
      <c r="J838" t="s">
        <v>227</v>
      </c>
      <c r="K838" t="s">
        <v>308</v>
      </c>
    </row>
    <row r="839" spans="1:11" x14ac:dyDescent="0.3">
      <c r="A839" t="s">
        <v>10</v>
      </c>
      <c r="B839" t="s">
        <v>281</v>
      </c>
      <c r="C839" t="str">
        <f t="shared" si="40"/>
        <v>IPL-2021</v>
      </c>
      <c r="D839">
        <f t="shared" si="41"/>
        <v>2021</v>
      </c>
      <c r="E839" s="1">
        <v>44313</v>
      </c>
      <c r="F839" t="s">
        <v>281</v>
      </c>
      <c r="G839" t="s">
        <v>12</v>
      </c>
      <c r="H839" t="str">
        <f t="shared" si="39"/>
        <v>LOSS</v>
      </c>
      <c r="I839" t="s">
        <v>10</v>
      </c>
      <c r="J839" t="s">
        <v>79</v>
      </c>
      <c r="K839" t="s">
        <v>308</v>
      </c>
    </row>
    <row r="840" spans="1:11" x14ac:dyDescent="0.3">
      <c r="A840" t="s">
        <v>187</v>
      </c>
      <c r="B840" t="s">
        <v>17</v>
      </c>
      <c r="C840" t="str">
        <f t="shared" si="40"/>
        <v>IPL-2021</v>
      </c>
      <c r="D840">
        <f t="shared" si="41"/>
        <v>2021</v>
      </c>
      <c r="E840" s="1">
        <v>44314</v>
      </c>
      <c r="F840" t="s">
        <v>187</v>
      </c>
      <c r="G840" t="s">
        <v>18</v>
      </c>
      <c r="H840" t="str">
        <f t="shared" si="39"/>
        <v>LOSS</v>
      </c>
      <c r="I840" t="s">
        <v>17</v>
      </c>
      <c r="J840" t="s">
        <v>300</v>
      </c>
      <c r="K840" t="s">
        <v>309</v>
      </c>
    </row>
    <row r="841" spans="1:11" x14ac:dyDescent="0.3">
      <c r="A841" t="s">
        <v>11</v>
      </c>
      <c r="B841" t="s">
        <v>281</v>
      </c>
      <c r="C841" t="str">
        <f t="shared" si="40"/>
        <v>IPL-2021</v>
      </c>
      <c r="D841">
        <f t="shared" si="41"/>
        <v>2021</v>
      </c>
      <c r="E841" s="1">
        <v>44315</v>
      </c>
      <c r="F841" t="s">
        <v>281</v>
      </c>
      <c r="G841" t="s">
        <v>12</v>
      </c>
      <c r="H841" t="str">
        <f t="shared" si="39"/>
        <v>WIN</v>
      </c>
      <c r="I841" t="s">
        <v>281</v>
      </c>
      <c r="J841" t="s">
        <v>282</v>
      </c>
      <c r="K841" t="s">
        <v>308</v>
      </c>
    </row>
    <row r="842" spans="1:11" x14ac:dyDescent="0.3">
      <c r="A842" t="s">
        <v>22</v>
      </c>
      <c r="B842" t="s">
        <v>25</v>
      </c>
      <c r="C842" t="str">
        <f t="shared" si="40"/>
        <v>IPL-2021</v>
      </c>
      <c r="D842">
        <f t="shared" si="41"/>
        <v>2021</v>
      </c>
      <c r="E842" s="1">
        <v>44315</v>
      </c>
      <c r="F842" t="s">
        <v>25</v>
      </c>
      <c r="G842" t="s">
        <v>12</v>
      </c>
      <c r="H842" t="str">
        <f t="shared" si="39"/>
        <v>WIN</v>
      </c>
      <c r="I842" t="s">
        <v>25</v>
      </c>
      <c r="J842" t="s">
        <v>236</v>
      </c>
      <c r="K842" t="s">
        <v>309</v>
      </c>
    </row>
    <row r="843" spans="1:11" x14ac:dyDescent="0.3">
      <c r="A843" t="s">
        <v>304</v>
      </c>
      <c r="B843" t="s">
        <v>10</v>
      </c>
      <c r="C843" t="str">
        <f t="shared" si="40"/>
        <v>IPL-2021</v>
      </c>
      <c r="D843">
        <f t="shared" si="41"/>
        <v>2021</v>
      </c>
      <c r="E843" s="1">
        <v>44316</v>
      </c>
      <c r="F843" t="s">
        <v>10</v>
      </c>
      <c r="G843" t="s">
        <v>12</v>
      </c>
      <c r="H843" t="str">
        <f t="shared" si="39"/>
        <v>LOSS</v>
      </c>
      <c r="I843" t="s">
        <v>304</v>
      </c>
      <c r="J843" t="s">
        <v>310</v>
      </c>
      <c r="K843" t="s">
        <v>308</v>
      </c>
    </row>
    <row r="844" spans="1:11" x14ac:dyDescent="0.3">
      <c r="A844" t="s">
        <v>17</v>
      </c>
      <c r="B844" t="s">
        <v>25</v>
      </c>
      <c r="C844" t="str">
        <f t="shared" si="40"/>
        <v>IPL-2021</v>
      </c>
      <c r="D844">
        <f t="shared" si="41"/>
        <v>2021</v>
      </c>
      <c r="E844" s="1">
        <v>44317</v>
      </c>
      <c r="F844" t="s">
        <v>25</v>
      </c>
      <c r="G844" t="s">
        <v>12</v>
      </c>
      <c r="H844" t="str">
        <f t="shared" si="39"/>
        <v>WIN</v>
      </c>
      <c r="I844" t="s">
        <v>25</v>
      </c>
      <c r="J844" t="s">
        <v>134</v>
      </c>
      <c r="K844" t="s">
        <v>309</v>
      </c>
    </row>
    <row r="845" spans="1:11" x14ac:dyDescent="0.3">
      <c r="A845" t="s">
        <v>22</v>
      </c>
      <c r="B845" t="s">
        <v>187</v>
      </c>
      <c r="C845" t="str">
        <f t="shared" si="40"/>
        <v>IPL-2021</v>
      </c>
      <c r="D845">
        <f t="shared" si="41"/>
        <v>2021</v>
      </c>
      <c r="E845" s="1">
        <v>44318</v>
      </c>
      <c r="F845" t="s">
        <v>187</v>
      </c>
      <c r="G845" t="s">
        <v>12</v>
      </c>
      <c r="H845" t="str">
        <f t="shared" si="39"/>
        <v>LOSS</v>
      </c>
      <c r="I845" t="s">
        <v>22</v>
      </c>
      <c r="J845" t="s">
        <v>257</v>
      </c>
      <c r="K845" t="s">
        <v>309</v>
      </c>
    </row>
    <row r="846" spans="1:11" x14ac:dyDescent="0.3">
      <c r="A846" t="s">
        <v>304</v>
      </c>
      <c r="B846" t="s">
        <v>281</v>
      </c>
      <c r="C846" t="str">
        <f t="shared" si="40"/>
        <v>IPL-2021</v>
      </c>
      <c r="D846">
        <f t="shared" si="41"/>
        <v>2021</v>
      </c>
      <c r="E846" s="1">
        <v>44318</v>
      </c>
      <c r="F846" t="s">
        <v>281</v>
      </c>
      <c r="G846" t="s">
        <v>12</v>
      </c>
      <c r="H846" t="str">
        <f t="shared" si="39"/>
        <v>WIN</v>
      </c>
      <c r="I846" t="s">
        <v>281</v>
      </c>
      <c r="J846" t="s">
        <v>220</v>
      </c>
      <c r="K846" t="s">
        <v>308</v>
      </c>
    </row>
    <row r="847" spans="1:11" x14ac:dyDescent="0.3">
      <c r="A847" t="s">
        <v>17</v>
      </c>
      <c r="B847" t="s">
        <v>25</v>
      </c>
      <c r="C847" t="str">
        <f t="shared" si="40"/>
        <v>IPL-2021</v>
      </c>
      <c r="D847">
        <f t="shared" si="41"/>
        <v>2021</v>
      </c>
      <c r="E847" s="1">
        <v>44458</v>
      </c>
      <c r="F847" t="s">
        <v>17</v>
      </c>
      <c r="G847" t="s">
        <v>18</v>
      </c>
      <c r="H847" t="str">
        <f t="shared" si="39"/>
        <v>WIN</v>
      </c>
      <c r="I847" t="s">
        <v>17</v>
      </c>
      <c r="J847" t="s">
        <v>300</v>
      </c>
      <c r="K847" t="s">
        <v>208</v>
      </c>
    </row>
    <row r="848" spans="1:11" x14ac:dyDescent="0.3">
      <c r="A848" t="s">
        <v>10</v>
      </c>
      <c r="B848" t="s">
        <v>11</v>
      </c>
      <c r="C848" t="str">
        <f t="shared" si="40"/>
        <v>IPL-2021</v>
      </c>
      <c r="D848">
        <f t="shared" si="41"/>
        <v>2021</v>
      </c>
      <c r="E848" s="1">
        <v>44459</v>
      </c>
      <c r="F848" t="s">
        <v>10</v>
      </c>
      <c r="G848" t="s">
        <v>18</v>
      </c>
      <c r="H848" t="str">
        <f t="shared" si="39"/>
        <v>LOSS</v>
      </c>
      <c r="I848" t="s">
        <v>11</v>
      </c>
      <c r="J848" t="s">
        <v>298</v>
      </c>
      <c r="K848" t="s">
        <v>311</v>
      </c>
    </row>
    <row r="849" spans="1:11" x14ac:dyDescent="0.3">
      <c r="A849" t="s">
        <v>22</v>
      </c>
      <c r="B849" t="s">
        <v>304</v>
      </c>
      <c r="C849" t="str">
        <f t="shared" si="40"/>
        <v>IPL-2021</v>
      </c>
      <c r="D849">
        <f t="shared" si="41"/>
        <v>2021</v>
      </c>
      <c r="E849" s="1">
        <v>44460</v>
      </c>
      <c r="F849" t="s">
        <v>304</v>
      </c>
      <c r="G849" t="s">
        <v>12</v>
      </c>
      <c r="H849" t="str">
        <f t="shared" si="39"/>
        <v>LOSS</v>
      </c>
      <c r="I849" t="s">
        <v>22</v>
      </c>
      <c r="J849" t="s">
        <v>312</v>
      </c>
      <c r="K849" t="s">
        <v>208</v>
      </c>
    </row>
    <row r="850" spans="1:11" x14ac:dyDescent="0.3">
      <c r="A850" t="s">
        <v>187</v>
      </c>
      <c r="B850" t="s">
        <v>281</v>
      </c>
      <c r="C850" t="str">
        <f t="shared" si="40"/>
        <v>IPL-2021</v>
      </c>
      <c r="D850">
        <f t="shared" si="41"/>
        <v>2021</v>
      </c>
      <c r="E850" s="1">
        <v>44461</v>
      </c>
      <c r="F850" t="s">
        <v>187</v>
      </c>
      <c r="G850" t="s">
        <v>18</v>
      </c>
      <c r="H850" t="str">
        <f t="shared" si="39"/>
        <v>LOSS</v>
      </c>
      <c r="I850" t="s">
        <v>281</v>
      </c>
      <c r="J850" t="s">
        <v>297</v>
      </c>
      <c r="K850" t="s">
        <v>208</v>
      </c>
    </row>
    <row r="851" spans="1:11" x14ac:dyDescent="0.3">
      <c r="A851" t="s">
        <v>25</v>
      </c>
      <c r="B851" t="s">
        <v>11</v>
      </c>
      <c r="C851" t="str">
        <f t="shared" si="40"/>
        <v>IPL-2021</v>
      </c>
      <c r="D851">
        <f t="shared" si="41"/>
        <v>2021</v>
      </c>
      <c r="E851" s="1">
        <v>44462</v>
      </c>
      <c r="F851" t="s">
        <v>11</v>
      </c>
      <c r="G851" t="s">
        <v>12</v>
      </c>
      <c r="H851" t="str">
        <f t="shared" si="39"/>
        <v>WIN</v>
      </c>
      <c r="I851" t="s">
        <v>11</v>
      </c>
      <c r="J851" t="s">
        <v>176</v>
      </c>
      <c r="K851" t="s">
        <v>311</v>
      </c>
    </row>
    <row r="852" spans="1:11" x14ac:dyDescent="0.3">
      <c r="A852" t="s">
        <v>10</v>
      </c>
      <c r="B852" t="s">
        <v>17</v>
      </c>
      <c r="C852" t="str">
        <f t="shared" si="40"/>
        <v>IPL-2021</v>
      </c>
      <c r="D852">
        <f t="shared" si="41"/>
        <v>2021</v>
      </c>
      <c r="E852" s="1">
        <v>44463</v>
      </c>
      <c r="F852" t="s">
        <v>17</v>
      </c>
      <c r="G852" t="s">
        <v>12</v>
      </c>
      <c r="H852" t="str">
        <f t="shared" si="39"/>
        <v>WIN</v>
      </c>
      <c r="I852" t="s">
        <v>17</v>
      </c>
      <c r="J852" t="s">
        <v>60</v>
      </c>
      <c r="K852" t="s">
        <v>206</v>
      </c>
    </row>
    <row r="853" spans="1:11" x14ac:dyDescent="0.3">
      <c r="A853" t="s">
        <v>304</v>
      </c>
      <c r="B853" t="s">
        <v>187</v>
      </c>
      <c r="C853" t="str">
        <f t="shared" si="40"/>
        <v>IPL-2021</v>
      </c>
      <c r="D853">
        <f t="shared" si="41"/>
        <v>2021</v>
      </c>
      <c r="E853" s="1">
        <v>44464</v>
      </c>
      <c r="F853" t="s">
        <v>187</v>
      </c>
      <c r="G853" t="s">
        <v>12</v>
      </c>
      <c r="H853" t="str">
        <f t="shared" si="39"/>
        <v>LOSS</v>
      </c>
      <c r="I853" t="s">
        <v>304</v>
      </c>
      <c r="J853" t="s">
        <v>313</v>
      </c>
      <c r="K853" t="s">
        <v>206</v>
      </c>
    </row>
    <row r="854" spans="1:11" x14ac:dyDescent="0.3">
      <c r="A854" t="s">
        <v>281</v>
      </c>
      <c r="B854" t="s">
        <v>22</v>
      </c>
      <c r="C854" t="str">
        <f t="shared" si="40"/>
        <v>IPL-2021</v>
      </c>
      <c r="D854">
        <f t="shared" si="41"/>
        <v>2021</v>
      </c>
      <c r="E854" s="1">
        <v>44464</v>
      </c>
      <c r="F854" t="s">
        <v>22</v>
      </c>
      <c r="G854" t="s">
        <v>12</v>
      </c>
      <c r="H854" t="str">
        <f t="shared" si="39"/>
        <v>LOSS</v>
      </c>
      <c r="I854" t="s">
        <v>281</v>
      </c>
      <c r="J854" t="s">
        <v>222</v>
      </c>
      <c r="K854" t="s">
        <v>311</v>
      </c>
    </row>
    <row r="855" spans="1:11" x14ac:dyDescent="0.3">
      <c r="A855" t="s">
        <v>11</v>
      </c>
      <c r="B855" t="s">
        <v>17</v>
      </c>
      <c r="C855" t="str">
        <f t="shared" si="40"/>
        <v>IPL-2021</v>
      </c>
      <c r="D855">
        <f t="shared" si="41"/>
        <v>2021</v>
      </c>
      <c r="E855" s="1">
        <v>44465</v>
      </c>
      <c r="F855" t="s">
        <v>11</v>
      </c>
      <c r="G855" t="s">
        <v>18</v>
      </c>
      <c r="H855" t="str">
        <f t="shared" si="39"/>
        <v>LOSS</v>
      </c>
      <c r="I855" t="s">
        <v>17</v>
      </c>
      <c r="J855" t="s">
        <v>167</v>
      </c>
      <c r="K855" t="s">
        <v>311</v>
      </c>
    </row>
    <row r="856" spans="1:11" x14ac:dyDescent="0.3">
      <c r="A856" t="s">
        <v>10</v>
      </c>
      <c r="B856" t="s">
        <v>25</v>
      </c>
      <c r="C856" t="str">
        <f t="shared" si="40"/>
        <v>IPL-2021</v>
      </c>
      <c r="D856">
        <f t="shared" si="41"/>
        <v>2021</v>
      </c>
      <c r="E856" s="1">
        <v>44465</v>
      </c>
      <c r="F856" t="s">
        <v>25</v>
      </c>
      <c r="G856" t="s">
        <v>12</v>
      </c>
      <c r="H856" t="str">
        <f t="shared" si="39"/>
        <v>LOSS</v>
      </c>
      <c r="I856" t="s">
        <v>10</v>
      </c>
      <c r="J856" t="s">
        <v>207</v>
      </c>
      <c r="K856" t="s">
        <v>208</v>
      </c>
    </row>
    <row r="857" spans="1:11" x14ac:dyDescent="0.3">
      <c r="A857" t="s">
        <v>22</v>
      </c>
      <c r="B857" t="s">
        <v>187</v>
      </c>
      <c r="C857" t="str">
        <f t="shared" si="40"/>
        <v>IPL-2021</v>
      </c>
      <c r="D857">
        <f t="shared" si="41"/>
        <v>2021</v>
      </c>
      <c r="E857" s="1">
        <v>44466</v>
      </c>
      <c r="F857" t="s">
        <v>22</v>
      </c>
      <c r="G857" t="s">
        <v>18</v>
      </c>
      <c r="H857" t="str">
        <f t="shared" si="39"/>
        <v>LOSS</v>
      </c>
      <c r="I857" t="s">
        <v>187</v>
      </c>
      <c r="J857" t="s">
        <v>270</v>
      </c>
      <c r="K857" t="s">
        <v>208</v>
      </c>
    </row>
    <row r="858" spans="1:11" x14ac:dyDescent="0.3">
      <c r="A858" t="s">
        <v>281</v>
      </c>
      <c r="B858" t="s">
        <v>11</v>
      </c>
      <c r="C858" t="str">
        <f t="shared" si="40"/>
        <v>IPL-2021</v>
      </c>
      <c r="D858">
        <f t="shared" si="41"/>
        <v>2021</v>
      </c>
      <c r="E858" s="1">
        <v>44467</v>
      </c>
      <c r="F858" t="s">
        <v>11</v>
      </c>
      <c r="G858" t="s">
        <v>12</v>
      </c>
      <c r="H858" t="str">
        <f t="shared" si="39"/>
        <v>WIN</v>
      </c>
      <c r="I858" t="s">
        <v>11</v>
      </c>
      <c r="J858" t="s">
        <v>176</v>
      </c>
      <c r="K858" t="s">
        <v>206</v>
      </c>
    </row>
    <row r="859" spans="1:11" x14ac:dyDescent="0.3">
      <c r="A859" t="s">
        <v>304</v>
      </c>
      <c r="B859" t="s">
        <v>25</v>
      </c>
      <c r="C859" t="str">
        <f t="shared" si="40"/>
        <v>IPL-2021</v>
      </c>
      <c r="D859">
        <f t="shared" si="41"/>
        <v>2021</v>
      </c>
      <c r="E859" s="1">
        <v>44467</v>
      </c>
      <c r="F859" t="s">
        <v>25</v>
      </c>
      <c r="G859" t="s">
        <v>12</v>
      </c>
      <c r="H859" t="str">
        <f t="shared" si="39"/>
        <v>WIN</v>
      </c>
      <c r="I859" t="s">
        <v>25</v>
      </c>
      <c r="J859" t="s">
        <v>134</v>
      </c>
      <c r="K859" t="s">
        <v>311</v>
      </c>
    </row>
    <row r="860" spans="1:11" x14ac:dyDescent="0.3">
      <c r="A860" t="s">
        <v>22</v>
      </c>
      <c r="B860" t="s">
        <v>10</v>
      </c>
      <c r="C860" t="str">
        <f t="shared" si="40"/>
        <v>IPL-2021</v>
      </c>
      <c r="D860">
        <f t="shared" si="41"/>
        <v>2021</v>
      </c>
      <c r="E860" s="1">
        <v>44468</v>
      </c>
      <c r="F860" t="s">
        <v>10</v>
      </c>
      <c r="G860" t="s">
        <v>12</v>
      </c>
      <c r="H860" t="str">
        <f t="shared" si="39"/>
        <v>WIN</v>
      </c>
      <c r="I860" t="s">
        <v>10</v>
      </c>
      <c r="J860" t="s">
        <v>205</v>
      </c>
      <c r="K860" t="s">
        <v>208</v>
      </c>
    </row>
    <row r="861" spans="1:11" x14ac:dyDescent="0.3">
      <c r="A861" t="s">
        <v>187</v>
      </c>
      <c r="B861" t="s">
        <v>17</v>
      </c>
      <c r="C861" t="str">
        <f t="shared" si="40"/>
        <v>IPL-2021</v>
      </c>
      <c r="D861">
        <f t="shared" si="41"/>
        <v>2021</v>
      </c>
      <c r="E861" s="1">
        <v>44469</v>
      </c>
      <c r="F861" t="s">
        <v>17</v>
      </c>
      <c r="G861" t="s">
        <v>12</v>
      </c>
      <c r="H861" t="str">
        <f t="shared" si="39"/>
        <v>WIN</v>
      </c>
      <c r="I861" t="s">
        <v>17</v>
      </c>
      <c r="J861" t="s">
        <v>314</v>
      </c>
      <c r="K861" t="s">
        <v>206</v>
      </c>
    </row>
    <row r="862" spans="1:11" x14ac:dyDescent="0.3">
      <c r="A862" t="s">
        <v>11</v>
      </c>
      <c r="B862" t="s">
        <v>304</v>
      </c>
      <c r="C862" t="str">
        <f t="shared" si="40"/>
        <v>IPL-2021</v>
      </c>
      <c r="D862">
        <f t="shared" si="41"/>
        <v>2021</v>
      </c>
      <c r="E862" s="1">
        <v>44470</v>
      </c>
      <c r="F862" t="s">
        <v>304</v>
      </c>
      <c r="G862" t="s">
        <v>12</v>
      </c>
      <c r="H862" t="str">
        <f t="shared" si="39"/>
        <v>WIN</v>
      </c>
      <c r="I862" t="s">
        <v>304</v>
      </c>
      <c r="J862" t="s">
        <v>265</v>
      </c>
      <c r="K862" t="s">
        <v>208</v>
      </c>
    </row>
    <row r="863" spans="1:11" x14ac:dyDescent="0.3">
      <c r="A863" t="s">
        <v>25</v>
      </c>
      <c r="B863" t="s">
        <v>281</v>
      </c>
      <c r="C863" t="str">
        <f t="shared" si="40"/>
        <v>IPL-2021</v>
      </c>
      <c r="D863">
        <f t="shared" si="41"/>
        <v>2021</v>
      </c>
      <c r="E863" s="1">
        <v>44471</v>
      </c>
      <c r="F863" t="s">
        <v>281</v>
      </c>
      <c r="G863" t="s">
        <v>12</v>
      </c>
      <c r="H863" t="str">
        <f t="shared" si="39"/>
        <v>WIN</v>
      </c>
      <c r="I863" t="s">
        <v>281</v>
      </c>
      <c r="J863" t="s">
        <v>216</v>
      </c>
      <c r="K863" t="s">
        <v>206</v>
      </c>
    </row>
    <row r="864" spans="1:11" x14ac:dyDescent="0.3">
      <c r="A864" t="s">
        <v>17</v>
      </c>
      <c r="B864" t="s">
        <v>22</v>
      </c>
      <c r="C864" t="str">
        <f t="shared" si="40"/>
        <v>IPL-2021</v>
      </c>
      <c r="D864">
        <f t="shared" si="41"/>
        <v>2021</v>
      </c>
      <c r="E864" s="1">
        <v>44471</v>
      </c>
      <c r="F864" t="s">
        <v>22</v>
      </c>
      <c r="G864" t="s">
        <v>12</v>
      </c>
      <c r="H864" t="str">
        <f t="shared" si="39"/>
        <v>WIN</v>
      </c>
      <c r="I864" t="s">
        <v>22</v>
      </c>
      <c r="J864" t="s">
        <v>300</v>
      </c>
      <c r="K864" t="s">
        <v>311</v>
      </c>
    </row>
    <row r="865" spans="1:11" x14ac:dyDescent="0.3">
      <c r="A865" t="s">
        <v>187</v>
      </c>
      <c r="B865" t="s">
        <v>11</v>
      </c>
      <c r="C865" t="str">
        <f t="shared" si="40"/>
        <v>IPL-2021</v>
      </c>
      <c r="D865">
        <f t="shared" si="41"/>
        <v>2021</v>
      </c>
      <c r="E865" s="1">
        <v>44472</v>
      </c>
      <c r="F865" t="s">
        <v>187</v>
      </c>
      <c r="G865" t="s">
        <v>18</v>
      </c>
      <c r="H865" t="str">
        <f t="shared" si="39"/>
        <v>LOSS</v>
      </c>
      <c r="I865" t="s">
        <v>11</v>
      </c>
      <c r="J865" t="s">
        <v>292</v>
      </c>
      <c r="K865" t="s">
        <v>208</v>
      </c>
    </row>
    <row r="866" spans="1:11" x14ac:dyDescent="0.3">
      <c r="A866" t="s">
        <v>10</v>
      </c>
      <c r="B866" t="s">
        <v>304</v>
      </c>
      <c r="C866" t="str">
        <f t="shared" si="40"/>
        <v>IPL-2021</v>
      </c>
      <c r="D866">
        <f t="shared" si="41"/>
        <v>2021</v>
      </c>
      <c r="E866" s="1">
        <v>44472</v>
      </c>
      <c r="F866" t="s">
        <v>10</v>
      </c>
      <c r="G866" t="s">
        <v>18</v>
      </c>
      <c r="H866" t="str">
        <f t="shared" si="39"/>
        <v>WIN</v>
      </c>
      <c r="I866" t="s">
        <v>10</v>
      </c>
      <c r="J866" t="s">
        <v>207</v>
      </c>
      <c r="K866" t="s">
        <v>206</v>
      </c>
    </row>
    <row r="867" spans="1:11" x14ac:dyDescent="0.3">
      <c r="A867" t="s">
        <v>17</v>
      </c>
      <c r="B867" t="s">
        <v>281</v>
      </c>
      <c r="C867" t="str">
        <f t="shared" si="40"/>
        <v>IPL-2021</v>
      </c>
      <c r="D867">
        <f t="shared" si="41"/>
        <v>2021</v>
      </c>
      <c r="E867" s="1">
        <v>44473</v>
      </c>
      <c r="F867" t="s">
        <v>281</v>
      </c>
      <c r="G867" t="s">
        <v>12</v>
      </c>
      <c r="H867" t="str">
        <f t="shared" si="39"/>
        <v>WIN</v>
      </c>
      <c r="I867" t="s">
        <v>281</v>
      </c>
      <c r="J867" t="s">
        <v>216</v>
      </c>
      <c r="K867" t="s">
        <v>208</v>
      </c>
    </row>
    <row r="868" spans="1:11" x14ac:dyDescent="0.3">
      <c r="A868" t="s">
        <v>22</v>
      </c>
      <c r="B868" t="s">
        <v>25</v>
      </c>
      <c r="C868" t="str">
        <f t="shared" si="40"/>
        <v>IPL-2021</v>
      </c>
      <c r="D868">
        <f t="shared" si="41"/>
        <v>2021</v>
      </c>
      <c r="E868" s="1">
        <v>44474</v>
      </c>
      <c r="F868" t="s">
        <v>25</v>
      </c>
      <c r="G868" t="s">
        <v>12</v>
      </c>
      <c r="H868" t="str">
        <f t="shared" si="39"/>
        <v>WIN</v>
      </c>
      <c r="I868" t="s">
        <v>25</v>
      </c>
      <c r="J868" t="s">
        <v>226</v>
      </c>
      <c r="K868" t="s">
        <v>206</v>
      </c>
    </row>
    <row r="869" spans="1:11" x14ac:dyDescent="0.3">
      <c r="A869" t="s">
        <v>187</v>
      </c>
      <c r="B869" t="s">
        <v>10</v>
      </c>
      <c r="C869" t="str">
        <f t="shared" si="40"/>
        <v>IPL-2021</v>
      </c>
      <c r="D869">
        <f t="shared" si="41"/>
        <v>2021</v>
      </c>
      <c r="E869" s="1">
        <v>44475</v>
      </c>
      <c r="F869" t="s">
        <v>10</v>
      </c>
      <c r="G869" t="s">
        <v>12</v>
      </c>
      <c r="H869" t="str">
        <f t="shared" si="39"/>
        <v>LOSS</v>
      </c>
      <c r="I869" t="s">
        <v>187</v>
      </c>
      <c r="J869" t="s">
        <v>256</v>
      </c>
      <c r="K869" t="s">
        <v>311</v>
      </c>
    </row>
    <row r="870" spans="1:11" x14ac:dyDescent="0.3">
      <c r="A870" t="s">
        <v>11</v>
      </c>
      <c r="B870" t="s">
        <v>22</v>
      </c>
      <c r="C870" t="str">
        <f t="shared" si="40"/>
        <v>IPL-2021</v>
      </c>
      <c r="D870">
        <f t="shared" si="41"/>
        <v>2021</v>
      </c>
      <c r="E870" s="1">
        <v>44476</v>
      </c>
      <c r="F870" t="s">
        <v>22</v>
      </c>
      <c r="G870" t="s">
        <v>12</v>
      </c>
      <c r="H870" t="str">
        <f t="shared" si="39"/>
        <v>LOSS</v>
      </c>
      <c r="I870" t="s">
        <v>11</v>
      </c>
      <c r="J870" t="s">
        <v>294</v>
      </c>
      <c r="K870" t="s">
        <v>206</v>
      </c>
    </row>
    <row r="871" spans="1:11" x14ac:dyDescent="0.3">
      <c r="A871" t="s">
        <v>17</v>
      </c>
      <c r="B871" t="s">
        <v>304</v>
      </c>
      <c r="C871" t="str">
        <f t="shared" si="40"/>
        <v>IPL-2021</v>
      </c>
      <c r="D871">
        <f t="shared" si="41"/>
        <v>2021</v>
      </c>
      <c r="E871" s="1">
        <v>44476</v>
      </c>
      <c r="F871" t="s">
        <v>304</v>
      </c>
      <c r="G871" t="s">
        <v>12</v>
      </c>
      <c r="H871" t="str">
        <f t="shared" si="39"/>
        <v>WIN</v>
      </c>
      <c r="I871" t="s">
        <v>304</v>
      </c>
      <c r="J871" t="s">
        <v>265</v>
      </c>
      <c r="K871" t="s">
        <v>208</v>
      </c>
    </row>
    <row r="872" spans="1:11" x14ac:dyDescent="0.3">
      <c r="A872" t="s">
        <v>25</v>
      </c>
      <c r="B872" t="s">
        <v>187</v>
      </c>
      <c r="C872" t="str">
        <f t="shared" si="40"/>
        <v>IPL-2021</v>
      </c>
      <c r="D872">
        <f t="shared" si="41"/>
        <v>2021</v>
      </c>
      <c r="E872" s="1">
        <v>44477</v>
      </c>
      <c r="F872" t="s">
        <v>25</v>
      </c>
      <c r="G872" t="s">
        <v>18</v>
      </c>
      <c r="H872" t="str">
        <f t="shared" si="39"/>
        <v>WIN</v>
      </c>
      <c r="I872" t="s">
        <v>25</v>
      </c>
      <c r="J872" t="s">
        <v>277</v>
      </c>
      <c r="K872" t="s">
        <v>311</v>
      </c>
    </row>
    <row r="873" spans="1:11" x14ac:dyDescent="0.3">
      <c r="A873" t="s">
        <v>281</v>
      </c>
      <c r="B873" t="s">
        <v>10</v>
      </c>
      <c r="C873" t="str">
        <f t="shared" si="40"/>
        <v>IPL-2021</v>
      </c>
      <c r="D873">
        <f t="shared" si="41"/>
        <v>2021</v>
      </c>
      <c r="E873" s="1">
        <v>44477</v>
      </c>
      <c r="F873" t="s">
        <v>10</v>
      </c>
      <c r="G873" t="s">
        <v>12</v>
      </c>
      <c r="H873" t="str">
        <f t="shared" si="39"/>
        <v>WIN</v>
      </c>
      <c r="I873" t="s">
        <v>10</v>
      </c>
      <c r="J873" t="s">
        <v>315</v>
      </c>
      <c r="K873" t="s">
        <v>208</v>
      </c>
    </row>
    <row r="874" spans="1:11" x14ac:dyDescent="0.3">
      <c r="A874" t="s">
        <v>281</v>
      </c>
      <c r="B874" t="s">
        <v>17</v>
      </c>
      <c r="C874" t="str">
        <f t="shared" si="40"/>
        <v>IPL-2021</v>
      </c>
      <c r="D874">
        <f t="shared" si="41"/>
        <v>2021</v>
      </c>
      <c r="E874" s="1">
        <v>44479</v>
      </c>
      <c r="F874" t="s">
        <v>17</v>
      </c>
      <c r="G874" t="s">
        <v>12</v>
      </c>
      <c r="H874" t="str">
        <f t="shared" si="39"/>
        <v>WIN</v>
      </c>
      <c r="I874" t="s">
        <v>17</v>
      </c>
      <c r="J874" t="s">
        <v>300</v>
      </c>
      <c r="K874" t="s">
        <v>208</v>
      </c>
    </row>
    <row r="875" spans="1:11" x14ac:dyDescent="0.3">
      <c r="A875" t="s">
        <v>10</v>
      </c>
      <c r="B875" t="s">
        <v>11</v>
      </c>
      <c r="C875" t="str">
        <f t="shared" si="40"/>
        <v>IPL-2021</v>
      </c>
      <c r="D875">
        <f t="shared" si="41"/>
        <v>2021</v>
      </c>
      <c r="E875" s="1">
        <v>44480</v>
      </c>
      <c r="F875" t="s">
        <v>10</v>
      </c>
      <c r="G875" t="s">
        <v>18</v>
      </c>
      <c r="H875" t="str">
        <f t="shared" si="39"/>
        <v>LOSS</v>
      </c>
      <c r="I875" t="s">
        <v>11</v>
      </c>
      <c r="J875" t="s">
        <v>176</v>
      </c>
      <c r="K875" t="s">
        <v>206</v>
      </c>
    </row>
    <row r="876" spans="1:11" x14ac:dyDescent="0.3">
      <c r="A876" t="s">
        <v>281</v>
      </c>
      <c r="B876" t="s">
        <v>11</v>
      </c>
      <c r="C876" t="str">
        <f t="shared" si="40"/>
        <v>IPL-2021</v>
      </c>
      <c r="D876">
        <f t="shared" si="41"/>
        <v>2021</v>
      </c>
      <c r="E876" s="1">
        <v>44482</v>
      </c>
      <c r="F876" t="s">
        <v>11</v>
      </c>
      <c r="G876" t="s">
        <v>12</v>
      </c>
      <c r="H876" t="str">
        <f t="shared" si="39"/>
        <v>WIN</v>
      </c>
      <c r="I876" t="s">
        <v>11</v>
      </c>
      <c r="J876" t="s">
        <v>316</v>
      </c>
      <c r="K876" t="s">
        <v>206</v>
      </c>
    </row>
    <row r="877" spans="1:11" x14ac:dyDescent="0.3">
      <c r="A877" t="s">
        <v>17</v>
      </c>
      <c r="B877" t="s">
        <v>11</v>
      </c>
      <c r="C877" t="str">
        <f t="shared" si="40"/>
        <v>IPL-2021</v>
      </c>
      <c r="D877">
        <f t="shared" si="41"/>
        <v>2021</v>
      </c>
      <c r="E877" s="1">
        <v>44484</v>
      </c>
      <c r="F877" t="s">
        <v>11</v>
      </c>
      <c r="G877" t="s">
        <v>12</v>
      </c>
      <c r="H877" t="str">
        <f t="shared" si="39"/>
        <v>LOSS</v>
      </c>
      <c r="I877" t="s">
        <v>17</v>
      </c>
      <c r="J877" t="s">
        <v>172</v>
      </c>
      <c r="K877" t="s">
        <v>208</v>
      </c>
    </row>
    <row r="878" spans="1:11" x14ac:dyDescent="0.3">
      <c r="A878" t="s">
        <v>17</v>
      </c>
      <c r="B878" t="s">
        <v>11</v>
      </c>
      <c r="C878" t="str">
        <f t="shared" si="40"/>
        <v>IPL-2022</v>
      </c>
      <c r="D878">
        <f t="shared" si="41"/>
        <v>2022</v>
      </c>
      <c r="E878" s="1">
        <v>44646</v>
      </c>
      <c r="F878" t="s">
        <v>11</v>
      </c>
      <c r="G878" t="s">
        <v>12</v>
      </c>
      <c r="H878" t="str">
        <f t="shared" si="39"/>
        <v>WIN</v>
      </c>
      <c r="I878" t="s">
        <v>11</v>
      </c>
      <c r="J878" t="s">
        <v>185</v>
      </c>
      <c r="K878" t="s">
        <v>303</v>
      </c>
    </row>
    <row r="879" spans="1:11" x14ac:dyDescent="0.3">
      <c r="A879" t="s">
        <v>25</v>
      </c>
      <c r="B879" t="s">
        <v>281</v>
      </c>
      <c r="C879" t="str">
        <f t="shared" si="40"/>
        <v>IPL-2022</v>
      </c>
      <c r="D879">
        <f t="shared" si="41"/>
        <v>2022</v>
      </c>
      <c r="E879" s="1">
        <v>44647</v>
      </c>
      <c r="F879" t="s">
        <v>281</v>
      </c>
      <c r="G879" t="s">
        <v>12</v>
      </c>
      <c r="H879" t="str">
        <f t="shared" si="39"/>
        <v>WIN</v>
      </c>
      <c r="I879" t="s">
        <v>281</v>
      </c>
      <c r="J879" t="s">
        <v>278</v>
      </c>
      <c r="K879" t="s">
        <v>118</v>
      </c>
    </row>
    <row r="880" spans="1:11" x14ac:dyDescent="0.3">
      <c r="A880" t="s">
        <v>10</v>
      </c>
      <c r="B880" t="s">
        <v>304</v>
      </c>
      <c r="C880" t="str">
        <f t="shared" si="40"/>
        <v>IPL-2022</v>
      </c>
      <c r="D880">
        <f t="shared" si="41"/>
        <v>2022</v>
      </c>
      <c r="E880" s="1">
        <v>44647</v>
      </c>
      <c r="F880" t="s">
        <v>304</v>
      </c>
      <c r="G880" t="s">
        <v>12</v>
      </c>
      <c r="H880" t="str">
        <f t="shared" si="39"/>
        <v>WIN</v>
      </c>
      <c r="I880" t="s">
        <v>304</v>
      </c>
      <c r="J880" t="s">
        <v>317</v>
      </c>
      <c r="K880" t="s">
        <v>318</v>
      </c>
    </row>
    <row r="881" spans="1:11" x14ac:dyDescent="0.3">
      <c r="A881" t="s">
        <v>319</v>
      </c>
      <c r="B881" t="s">
        <v>320</v>
      </c>
      <c r="C881" t="str">
        <f t="shared" si="40"/>
        <v>IPL-2022</v>
      </c>
      <c r="D881">
        <f t="shared" si="41"/>
        <v>2022</v>
      </c>
      <c r="E881" s="1">
        <v>44648</v>
      </c>
      <c r="F881" t="s">
        <v>320</v>
      </c>
      <c r="G881" t="s">
        <v>12</v>
      </c>
      <c r="H881" t="str">
        <f t="shared" si="39"/>
        <v>WIN</v>
      </c>
      <c r="I881" t="s">
        <v>320</v>
      </c>
      <c r="J881" t="s">
        <v>259</v>
      </c>
      <c r="K881" t="s">
        <v>303</v>
      </c>
    </row>
    <row r="882" spans="1:11" x14ac:dyDescent="0.3">
      <c r="A882" t="s">
        <v>22</v>
      </c>
      <c r="B882" t="s">
        <v>187</v>
      </c>
      <c r="C882" t="str">
        <f t="shared" si="40"/>
        <v>IPL-2022</v>
      </c>
      <c r="D882">
        <f t="shared" si="41"/>
        <v>2022</v>
      </c>
      <c r="E882" s="1">
        <v>44649</v>
      </c>
      <c r="F882" t="s">
        <v>187</v>
      </c>
      <c r="G882" t="s">
        <v>12</v>
      </c>
      <c r="H882" t="str">
        <f t="shared" si="39"/>
        <v>LOSS</v>
      </c>
      <c r="I882" t="s">
        <v>22</v>
      </c>
      <c r="J882" t="s">
        <v>196</v>
      </c>
      <c r="K882" t="s">
        <v>321</v>
      </c>
    </row>
    <row r="883" spans="1:11" x14ac:dyDescent="0.3">
      <c r="A883" t="s">
        <v>11</v>
      </c>
      <c r="B883" t="s">
        <v>10</v>
      </c>
      <c r="C883" t="str">
        <f t="shared" si="40"/>
        <v>IPL-2022</v>
      </c>
      <c r="D883">
        <f t="shared" si="41"/>
        <v>2022</v>
      </c>
      <c r="E883" s="1">
        <v>44650</v>
      </c>
      <c r="F883" t="s">
        <v>10</v>
      </c>
      <c r="G883" t="s">
        <v>12</v>
      </c>
      <c r="H883" t="str">
        <f t="shared" si="39"/>
        <v>WIN</v>
      </c>
      <c r="I883" t="s">
        <v>10</v>
      </c>
      <c r="J883" t="s">
        <v>322</v>
      </c>
      <c r="K883" t="s">
        <v>318</v>
      </c>
    </row>
    <row r="884" spans="1:11" x14ac:dyDescent="0.3">
      <c r="A884" t="s">
        <v>17</v>
      </c>
      <c r="B884" t="s">
        <v>319</v>
      </c>
      <c r="C884" t="str">
        <f t="shared" si="40"/>
        <v>IPL-2022</v>
      </c>
      <c r="D884">
        <f t="shared" si="41"/>
        <v>2022</v>
      </c>
      <c r="E884" s="1">
        <v>44651</v>
      </c>
      <c r="F884" t="s">
        <v>319</v>
      </c>
      <c r="G884" t="s">
        <v>12</v>
      </c>
      <c r="H884" t="str">
        <f t="shared" si="39"/>
        <v>WIN</v>
      </c>
      <c r="I884" t="s">
        <v>319</v>
      </c>
      <c r="J884" t="s">
        <v>323</v>
      </c>
      <c r="K884" t="s">
        <v>118</v>
      </c>
    </row>
    <row r="885" spans="1:11" x14ac:dyDescent="0.3">
      <c r="A885" t="s">
        <v>304</v>
      </c>
      <c r="B885" t="s">
        <v>11</v>
      </c>
      <c r="C885" t="str">
        <f t="shared" si="40"/>
        <v>IPL-2022</v>
      </c>
      <c r="D885">
        <f t="shared" si="41"/>
        <v>2022</v>
      </c>
      <c r="E885" s="1">
        <v>44652</v>
      </c>
      <c r="F885" t="s">
        <v>11</v>
      </c>
      <c r="G885" t="s">
        <v>12</v>
      </c>
      <c r="H885" t="str">
        <f t="shared" si="39"/>
        <v>WIN</v>
      </c>
      <c r="I885" t="s">
        <v>11</v>
      </c>
      <c r="J885" t="s">
        <v>185</v>
      </c>
      <c r="K885" t="s">
        <v>303</v>
      </c>
    </row>
    <row r="886" spans="1:11" x14ac:dyDescent="0.3">
      <c r="A886" t="s">
        <v>320</v>
      </c>
      <c r="B886" t="s">
        <v>281</v>
      </c>
      <c r="C886" t="str">
        <f t="shared" si="40"/>
        <v>IPL-2022</v>
      </c>
      <c r="D886">
        <f t="shared" si="41"/>
        <v>2022</v>
      </c>
      <c r="E886" s="1">
        <v>44653</v>
      </c>
      <c r="F886" t="s">
        <v>281</v>
      </c>
      <c r="G886" t="s">
        <v>12</v>
      </c>
      <c r="H886" t="str">
        <f t="shared" si="39"/>
        <v>LOSS</v>
      </c>
      <c r="I886" t="s">
        <v>320</v>
      </c>
      <c r="J886" t="s">
        <v>258</v>
      </c>
      <c r="K886" t="s">
        <v>321</v>
      </c>
    </row>
    <row r="887" spans="1:11" x14ac:dyDescent="0.3">
      <c r="A887" t="s">
        <v>22</v>
      </c>
      <c r="B887" t="s">
        <v>25</v>
      </c>
      <c r="C887" t="str">
        <f t="shared" si="40"/>
        <v>IPL-2022</v>
      </c>
      <c r="D887">
        <f t="shared" si="41"/>
        <v>2022</v>
      </c>
      <c r="E887" s="1">
        <v>44653</v>
      </c>
      <c r="F887" t="s">
        <v>25</v>
      </c>
      <c r="G887" t="s">
        <v>12</v>
      </c>
      <c r="H887" t="str">
        <f t="shared" si="39"/>
        <v>LOSS</v>
      </c>
      <c r="I887" t="s">
        <v>22</v>
      </c>
      <c r="J887" t="s">
        <v>257</v>
      </c>
      <c r="K887" t="s">
        <v>318</v>
      </c>
    </row>
    <row r="888" spans="1:11" x14ac:dyDescent="0.3">
      <c r="A888" t="s">
        <v>304</v>
      </c>
      <c r="B888" t="s">
        <v>17</v>
      </c>
      <c r="C888" t="str">
        <f t="shared" si="40"/>
        <v>IPL-2022</v>
      </c>
      <c r="D888">
        <f t="shared" si="41"/>
        <v>2022</v>
      </c>
      <c r="E888" s="1">
        <v>44654</v>
      </c>
      <c r="F888" t="s">
        <v>17</v>
      </c>
      <c r="G888" t="s">
        <v>12</v>
      </c>
      <c r="H888" t="str">
        <f t="shared" si="39"/>
        <v>LOSS</v>
      </c>
      <c r="I888" t="s">
        <v>304</v>
      </c>
      <c r="J888" t="s">
        <v>324</v>
      </c>
      <c r="K888" t="s">
        <v>118</v>
      </c>
    </row>
    <row r="889" spans="1:11" x14ac:dyDescent="0.3">
      <c r="A889" t="s">
        <v>319</v>
      </c>
      <c r="B889" t="s">
        <v>187</v>
      </c>
      <c r="C889" t="str">
        <f t="shared" si="40"/>
        <v>IPL-2022</v>
      </c>
      <c r="D889">
        <f t="shared" si="41"/>
        <v>2022</v>
      </c>
      <c r="E889" s="1">
        <v>44655</v>
      </c>
      <c r="F889" t="s">
        <v>187</v>
      </c>
      <c r="G889" t="s">
        <v>12</v>
      </c>
      <c r="H889" t="str">
        <f t="shared" si="39"/>
        <v>LOSS</v>
      </c>
      <c r="I889" t="s">
        <v>319</v>
      </c>
      <c r="J889" t="s">
        <v>325</v>
      </c>
      <c r="K889" t="s">
        <v>318</v>
      </c>
    </row>
    <row r="890" spans="1:11" x14ac:dyDescent="0.3">
      <c r="A890" t="s">
        <v>22</v>
      </c>
      <c r="B890" t="s">
        <v>10</v>
      </c>
      <c r="C890" t="str">
        <f t="shared" si="40"/>
        <v>IPL-2022</v>
      </c>
      <c r="D890">
        <f t="shared" si="41"/>
        <v>2022</v>
      </c>
      <c r="E890" s="1">
        <v>44656</v>
      </c>
      <c r="F890" t="s">
        <v>10</v>
      </c>
      <c r="G890" t="s">
        <v>12</v>
      </c>
      <c r="H890" t="str">
        <f t="shared" si="39"/>
        <v>WIN</v>
      </c>
      <c r="I890" t="s">
        <v>10</v>
      </c>
      <c r="J890" t="s">
        <v>65</v>
      </c>
      <c r="K890" t="s">
        <v>303</v>
      </c>
    </row>
    <row r="891" spans="1:11" x14ac:dyDescent="0.3">
      <c r="A891" t="s">
        <v>25</v>
      </c>
      <c r="B891" t="s">
        <v>11</v>
      </c>
      <c r="C891" t="str">
        <f t="shared" si="40"/>
        <v>IPL-2022</v>
      </c>
      <c r="D891">
        <f t="shared" si="41"/>
        <v>2022</v>
      </c>
      <c r="E891" s="1">
        <v>44657</v>
      </c>
      <c r="F891" t="s">
        <v>11</v>
      </c>
      <c r="G891" t="s">
        <v>12</v>
      </c>
      <c r="H891" t="str">
        <f t="shared" si="39"/>
        <v>WIN</v>
      </c>
      <c r="I891" t="s">
        <v>11</v>
      </c>
      <c r="J891" t="s">
        <v>301</v>
      </c>
      <c r="K891" t="s">
        <v>321</v>
      </c>
    </row>
    <row r="892" spans="1:11" x14ac:dyDescent="0.3">
      <c r="A892" t="s">
        <v>281</v>
      </c>
      <c r="B892" t="s">
        <v>319</v>
      </c>
      <c r="C892" t="str">
        <f t="shared" si="40"/>
        <v>IPL-2022</v>
      </c>
      <c r="D892">
        <f t="shared" si="41"/>
        <v>2022</v>
      </c>
      <c r="E892" s="1">
        <v>44658</v>
      </c>
      <c r="F892" t="s">
        <v>319</v>
      </c>
      <c r="G892" t="s">
        <v>12</v>
      </c>
      <c r="H892" t="str">
        <f t="shared" si="39"/>
        <v>WIN</v>
      </c>
      <c r="I892" t="s">
        <v>319</v>
      </c>
      <c r="J892" t="s">
        <v>236</v>
      </c>
      <c r="K892" t="s">
        <v>318</v>
      </c>
    </row>
    <row r="893" spans="1:11" x14ac:dyDescent="0.3">
      <c r="A893" t="s">
        <v>304</v>
      </c>
      <c r="B893" t="s">
        <v>320</v>
      </c>
      <c r="C893" t="str">
        <f t="shared" si="40"/>
        <v>IPL-2022</v>
      </c>
      <c r="D893">
        <f t="shared" si="41"/>
        <v>2022</v>
      </c>
      <c r="E893" s="1">
        <v>44659</v>
      </c>
      <c r="F893" t="s">
        <v>320</v>
      </c>
      <c r="G893" t="s">
        <v>12</v>
      </c>
      <c r="H893" t="str">
        <f t="shared" si="39"/>
        <v>WIN</v>
      </c>
      <c r="I893" t="s">
        <v>320</v>
      </c>
      <c r="J893" t="s">
        <v>292</v>
      </c>
      <c r="K893" t="s">
        <v>118</v>
      </c>
    </row>
    <row r="894" spans="1:11" x14ac:dyDescent="0.3">
      <c r="A894" t="s">
        <v>17</v>
      </c>
      <c r="B894" t="s">
        <v>187</v>
      </c>
      <c r="C894" t="str">
        <f t="shared" si="40"/>
        <v>IPL-2022</v>
      </c>
      <c r="D894">
        <f t="shared" si="41"/>
        <v>2022</v>
      </c>
      <c r="E894" s="1">
        <v>44660</v>
      </c>
      <c r="F894" t="s">
        <v>187</v>
      </c>
      <c r="G894" t="s">
        <v>12</v>
      </c>
      <c r="H894" t="str">
        <f t="shared" si="39"/>
        <v>WIN</v>
      </c>
      <c r="I894" t="s">
        <v>187</v>
      </c>
      <c r="J894" t="s">
        <v>326</v>
      </c>
      <c r="K894" t="s">
        <v>318</v>
      </c>
    </row>
    <row r="895" spans="1:11" x14ac:dyDescent="0.3">
      <c r="A895" t="s">
        <v>25</v>
      </c>
      <c r="B895" t="s">
        <v>10</v>
      </c>
      <c r="C895" t="str">
        <f t="shared" si="40"/>
        <v>IPL-2022</v>
      </c>
      <c r="D895">
        <f t="shared" si="41"/>
        <v>2022</v>
      </c>
      <c r="E895" s="1">
        <v>44660</v>
      </c>
      <c r="F895" t="s">
        <v>10</v>
      </c>
      <c r="G895" t="s">
        <v>12</v>
      </c>
      <c r="H895" t="str">
        <f t="shared" si="39"/>
        <v>WIN</v>
      </c>
      <c r="I895" t="s">
        <v>10</v>
      </c>
      <c r="J895" t="s">
        <v>327</v>
      </c>
      <c r="K895" t="s">
        <v>321</v>
      </c>
    </row>
    <row r="896" spans="1:11" x14ac:dyDescent="0.3">
      <c r="A896" t="s">
        <v>22</v>
      </c>
      <c r="B896" t="s">
        <v>319</v>
      </c>
      <c r="C896" t="str">
        <f t="shared" si="40"/>
        <v>IPL-2022</v>
      </c>
      <c r="D896">
        <f t="shared" si="41"/>
        <v>2022</v>
      </c>
      <c r="E896" s="1">
        <v>44661</v>
      </c>
      <c r="F896" t="s">
        <v>319</v>
      </c>
      <c r="G896" t="s">
        <v>12</v>
      </c>
      <c r="H896" t="str">
        <f t="shared" si="39"/>
        <v>LOSS</v>
      </c>
      <c r="I896" t="s">
        <v>22</v>
      </c>
      <c r="J896" t="s">
        <v>205</v>
      </c>
      <c r="K896" t="s">
        <v>303</v>
      </c>
    </row>
    <row r="897" spans="1:11" x14ac:dyDescent="0.3">
      <c r="A897" t="s">
        <v>281</v>
      </c>
      <c r="B897" t="s">
        <v>11</v>
      </c>
      <c r="C897" t="str">
        <f t="shared" si="40"/>
        <v>IPL-2022</v>
      </c>
      <c r="D897">
        <f t="shared" si="41"/>
        <v>2022</v>
      </c>
      <c r="E897" s="1">
        <v>44661</v>
      </c>
      <c r="F897" t="s">
        <v>11</v>
      </c>
      <c r="G897" t="s">
        <v>12</v>
      </c>
      <c r="H897" t="str">
        <f t="shared" si="39"/>
        <v>LOSS</v>
      </c>
      <c r="I897" t="s">
        <v>281</v>
      </c>
      <c r="J897" t="s">
        <v>278</v>
      </c>
      <c r="K897" t="s">
        <v>118</v>
      </c>
    </row>
    <row r="898" spans="1:11" x14ac:dyDescent="0.3">
      <c r="A898" t="s">
        <v>320</v>
      </c>
      <c r="B898" t="s">
        <v>187</v>
      </c>
      <c r="C898" t="str">
        <f t="shared" si="40"/>
        <v>IPL-2022</v>
      </c>
      <c r="D898">
        <f t="shared" si="41"/>
        <v>2022</v>
      </c>
      <c r="E898" s="1">
        <v>44662</v>
      </c>
      <c r="F898" t="s">
        <v>187</v>
      </c>
      <c r="G898" t="s">
        <v>12</v>
      </c>
      <c r="H898" t="str">
        <f t="shared" ref="H898:H961" si="42">IF(F898=I898,"WIN","LOSS")</f>
        <v>WIN</v>
      </c>
      <c r="I898" t="s">
        <v>187</v>
      </c>
      <c r="J898" t="s">
        <v>256</v>
      </c>
      <c r="K898" t="s">
        <v>318</v>
      </c>
    </row>
    <row r="899" spans="1:11" x14ac:dyDescent="0.3">
      <c r="A899" t="s">
        <v>17</v>
      </c>
      <c r="B899" t="s">
        <v>10</v>
      </c>
      <c r="C899" t="str">
        <f t="shared" ref="C899:C962" si="43">_xlfn.CONCAT("IPL-",D899)</f>
        <v>IPL-2022</v>
      </c>
      <c r="D899">
        <f t="shared" ref="D899:D962" si="44">YEAR(E899)</f>
        <v>2022</v>
      </c>
      <c r="E899" s="1">
        <v>44663</v>
      </c>
      <c r="F899" t="s">
        <v>10</v>
      </c>
      <c r="G899" t="s">
        <v>12</v>
      </c>
      <c r="H899" t="str">
        <f t="shared" si="42"/>
        <v>LOSS</v>
      </c>
      <c r="I899" t="s">
        <v>17</v>
      </c>
      <c r="J899" t="s">
        <v>328</v>
      </c>
      <c r="K899" t="s">
        <v>318</v>
      </c>
    </row>
    <row r="900" spans="1:11" x14ac:dyDescent="0.3">
      <c r="A900" t="s">
        <v>304</v>
      </c>
      <c r="B900" t="s">
        <v>25</v>
      </c>
      <c r="C900" t="str">
        <f t="shared" si="43"/>
        <v>IPL-2022</v>
      </c>
      <c r="D900">
        <f t="shared" si="44"/>
        <v>2022</v>
      </c>
      <c r="E900" s="1">
        <v>44664</v>
      </c>
      <c r="F900" t="s">
        <v>25</v>
      </c>
      <c r="G900" t="s">
        <v>12</v>
      </c>
      <c r="H900" t="str">
        <f t="shared" si="42"/>
        <v>LOSS</v>
      </c>
      <c r="I900" t="s">
        <v>304</v>
      </c>
      <c r="J900" t="s">
        <v>220</v>
      </c>
      <c r="K900" t="s">
        <v>321</v>
      </c>
    </row>
    <row r="901" spans="1:11" x14ac:dyDescent="0.3">
      <c r="A901" t="s">
        <v>320</v>
      </c>
      <c r="B901" t="s">
        <v>22</v>
      </c>
      <c r="C901" t="str">
        <f t="shared" si="43"/>
        <v>IPL-2022</v>
      </c>
      <c r="D901">
        <f t="shared" si="44"/>
        <v>2022</v>
      </c>
      <c r="E901" s="1">
        <v>44665</v>
      </c>
      <c r="F901" t="s">
        <v>22</v>
      </c>
      <c r="G901" t="s">
        <v>12</v>
      </c>
      <c r="H901" t="str">
        <f t="shared" si="42"/>
        <v>LOSS</v>
      </c>
      <c r="I901" t="s">
        <v>320</v>
      </c>
      <c r="J901" t="s">
        <v>228</v>
      </c>
      <c r="K901" t="s">
        <v>318</v>
      </c>
    </row>
    <row r="902" spans="1:11" x14ac:dyDescent="0.3">
      <c r="A902" t="s">
        <v>11</v>
      </c>
      <c r="B902" t="s">
        <v>187</v>
      </c>
      <c r="C902" t="str">
        <f t="shared" si="43"/>
        <v>IPL-2022</v>
      </c>
      <c r="D902">
        <f t="shared" si="44"/>
        <v>2022</v>
      </c>
      <c r="E902" s="1">
        <v>44666</v>
      </c>
      <c r="F902" t="s">
        <v>187</v>
      </c>
      <c r="G902" t="s">
        <v>12</v>
      </c>
      <c r="H902" t="str">
        <f t="shared" si="42"/>
        <v>WIN</v>
      </c>
      <c r="I902" t="s">
        <v>187</v>
      </c>
      <c r="J902" t="s">
        <v>260</v>
      </c>
      <c r="K902" t="s">
        <v>118</v>
      </c>
    </row>
    <row r="903" spans="1:11" x14ac:dyDescent="0.3">
      <c r="A903" t="s">
        <v>10</v>
      </c>
      <c r="B903" t="s">
        <v>281</v>
      </c>
      <c r="C903" t="str">
        <f t="shared" si="43"/>
        <v>IPL-2022</v>
      </c>
      <c r="D903">
        <f t="shared" si="44"/>
        <v>2022</v>
      </c>
      <c r="E903" s="1">
        <v>44667</v>
      </c>
      <c r="F903" t="s">
        <v>281</v>
      </c>
      <c r="G903" t="s">
        <v>12</v>
      </c>
      <c r="H903" t="str">
        <f t="shared" si="42"/>
        <v>LOSS</v>
      </c>
      <c r="I903" t="s">
        <v>10</v>
      </c>
      <c r="J903" t="s">
        <v>65</v>
      </c>
      <c r="K903" t="s">
        <v>303</v>
      </c>
    </row>
    <row r="904" spans="1:11" x14ac:dyDescent="0.3">
      <c r="A904" t="s">
        <v>319</v>
      </c>
      <c r="B904" t="s">
        <v>25</v>
      </c>
      <c r="C904" t="str">
        <f t="shared" si="43"/>
        <v>IPL-2022</v>
      </c>
      <c r="D904">
        <f t="shared" si="44"/>
        <v>2022</v>
      </c>
      <c r="E904" s="1">
        <v>44667</v>
      </c>
      <c r="F904" t="s">
        <v>25</v>
      </c>
      <c r="G904" t="s">
        <v>12</v>
      </c>
      <c r="H904" t="str">
        <f t="shared" si="42"/>
        <v>LOSS</v>
      </c>
      <c r="I904" t="s">
        <v>319</v>
      </c>
      <c r="J904" t="s">
        <v>265</v>
      </c>
      <c r="K904" t="s">
        <v>118</v>
      </c>
    </row>
    <row r="905" spans="1:11" x14ac:dyDescent="0.3">
      <c r="A905" t="s">
        <v>304</v>
      </c>
      <c r="B905" t="s">
        <v>187</v>
      </c>
      <c r="C905" t="str">
        <f t="shared" si="43"/>
        <v>IPL-2022</v>
      </c>
      <c r="D905">
        <f t="shared" si="44"/>
        <v>2022</v>
      </c>
      <c r="E905" s="1">
        <v>44668</v>
      </c>
      <c r="F905" t="s">
        <v>187</v>
      </c>
      <c r="G905" t="s">
        <v>12</v>
      </c>
      <c r="H905" t="str">
        <f t="shared" si="42"/>
        <v>WIN</v>
      </c>
      <c r="I905" t="s">
        <v>187</v>
      </c>
      <c r="J905" t="s">
        <v>329</v>
      </c>
      <c r="K905" t="s">
        <v>318</v>
      </c>
    </row>
    <row r="906" spans="1:11" x14ac:dyDescent="0.3">
      <c r="A906" t="s">
        <v>17</v>
      </c>
      <c r="B906" t="s">
        <v>320</v>
      </c>
      <c r="C906" t="str">
        <f t="shared" si="43"/>
        <v>IPL-2022</v>
      </c>
      <c r="D906">
        <f t="shared" si="44"/>
        <v>2022</v>
      </c>
      <c r="E906" s="1">
        <v>44668</v>
      </c>
      <c r="F906" t="s">
        <v>320</v>
      </c>
      <c r="G906" t="s">
        <v>12</v>
      </c>
      <c r="H906" t="str">
        <f t="shared" si="42"/>
        <v>WIN</v>
      </c>
      <c r="I906" t="s">
        <v>320</v>
      </c>
      <c r="J906" t="s">
        <v>194</v>
      </c>
      <c r="K906" t="s">
        <v>321</v>
      </c>
    </row>
    <row r="907" spans="1:11" x14ac:dyDescent="0.3">
      <c r="A907" t="s">
        <v>22</v>
      </c>
      <c r="B907" t="s">
        <v>11</v>
      </c>
      <c r="C907" t="str">
        <f t="shared" si="43"/>
        <v>IPL-2022</v>
      </c>
      <c r="D907">
        <f t="shared" si="44"/>
        <v>2022</v>
      </c>
      <c r="E907" s="1">
        <v>44669</v>
      </c>
      <c r="F907" t="s">
        <v>11</v>
      </c>
      <c r="G907" t="s">
        <v>12</v>
      </c>
      <c r="H907" t="str">
        <f t="shared" si="42"/>
        <v>LOSS</v>
      </c>
      <c r="I907" t="s">
        <v>22</v>
      </c>
      <c r="J907" t="s">
        <v>205</v>
      </c>
      <c r="K907" t="s">
        <v>118</v>
      </c>
    </row>
    <row r="908" spans="1:11" x14ac:dyDescent="0.3">
      <c r="A908" t="s">
        <v>10</v>
      </c>
      <c r="B908" t="s">
        <v>319</v>
      </c>
      <c r="C908" t="str">
        <f t="shared" si="43"/>
        <v>IPL-2022</v>
      </c>
      <c r="D908">
        <f t="shared" si="44"/>
        <v>2022</v>
      </c>
      <c r="E908" s="1">
        <v>44670</v>
      </c>
      <c r="F908" t="s">
        <v>319</v>
      </c>
      <c r="G908" t="s">
        <v>12</v>
      </c>
      <c r="H908" t="str">
        <f t="shared" si="42"/>
        <v>LOSS</v>
      </c>
      <c r="I908" t="s">
        <v>10</v>
      </c>
      <c r="J908" t="s">
        <v>172</v>
      </c>
      <c r="K908" t="s">
        <v>318</v>
      </c>
    </row>
    <row r="909" spans="1:11" x14ac:dyDescent="0.3">
      <c r="A909" t="s">
        <v>304</v>
      </c>
      <c r="B909" t="s">
        <v>281</v>
      </c>
      <c r="C909" t="str">
        <f t="shared" si="43"/>
        <v>IPL-2022</v>
      </c>
      <c r="D909">
        <f t="shared" si="44"/>
        <v>2022</v>
      </c>
      <c r="E909" s="1">
        <v>44671</v>
      </c>
      <c r="F909" t="s">
        <v>281</v>
      </c>
      <c r="G909" t="s">
        <v>12</v>
      </c>
      <c r="H909" t="str">
        <f t="shared" si="42"/>
        <v>WIN</v>
      </c>
      <c r="I909" t="s">
        <v>281</v>
      </c>
      <c r="J909" t="s">
        <v>278</v>
      </c>
      <c r="K909" t="s">
        <v>118</v>
      </c>
    </row>
    <row r="910" spans="1:11" x14ac:dyDescent="0.3">
      <c r="A910" t="s">
        <v>25</v>
      </c>
      <c r="B910" t="s">
        <v>17</v>
      </c>
      <c r="C910" t="str">
        <f t="shared" si="43"/>
        <v>IPL-2022</v>
      </c>
      <c r="D910">
        <f t="shared" si="44"/>
        <v>2022</v>
      </c>
      <c r="E910" s="1">
        <v>44672</v>
      </c>
      <c r="F910" t="s">
        <v>17</v>
      </c>
      <c r="G910" t="s">
        <v>12</v>
      </c>
      <c r="H910" t="str">
        <f t="shared" si="42"/>
        <v>WIN</v>
      </c>
      <c r="I910" t="s">
        <v>17</v>
      </c>
      <c r="J910" t="s">
        <v>330</v>
      </c>
      <c r="K910" t="s">
        <v>318</v>
      </c>
    </row>
    <row r="911" spans="1:11" x14ac:dyDescent="0.3">
      <c r="A911" t="s">
        <v>22</v>
      </c>
      <c r="B911" t="s">
        <v>281</v>
      </c>
      <c r="C911" t="str">
        <f t="shared" si="43"/>
        <v>IPL-2022</v>
      </c>
      <c r="D911">
        <f t="shared" si="44"/>
        <v>2022</v>
      </c>
      <c r="E911" s="1">
        <v>44673</v>
      </c>
      <c r="F911" t="s">
        <v>281</v>
      </c>
      <c r="G911" t="s">
        <v>12</v>
      </c>
      <c r="H911" t="str">
        <f t="shared" si="42"/>
        <v>LOSS</v>
      </c>
      <c r="I911" t="s">
        <v>22</v>
      </c>
      <c r="J911" t="s">
        <v>257</v>
      </c>
      <c r="K911" t="s">
        <v>303</v>
      </c>
    </row>
    <row r="912" spans="1:11" x14ac:dyDescent="0.3">
      <c r="A912" t="s">
        <v>10</v>
      </c>
      <c r="B912" t="s">
        <v>187</v>
      </c>
      <c r="C912" t="str">
        <f t="shared" si="43"/>
        <v>IPL-2022</v>
      </c>
      <c r="D912">
        <f t="shared" si="44"/>
        <v>2022</v>
      </c>
      <c r="E912" s="1">
        <v>44674</v>
      </c>
      <c r="F912" t="s">
        <v>187</v>
      </c>
      <c r="G912" t="s">
        <v>12</v>
      </c>
      <c r="H912" t="str">
        <f t="shared" si="42"/>
        <v>WIN</v>
      </c>
      <c r="I912" t="s">
        <v>187</v>
      </c>
      <c r="J912" t="s">
        <v>331</v>
      </c>
      <c r="K912" t="s">
        <v>118</v>
      </c>
    </row>
    <row r="913" spans="1:11" x14ac:dyDescent="0.3">
      <c r="A913" t="s">
        <v>320</v>
      </c>
      <c r="B913" t="s">
        <v>11</v>
      </c>
      <c r="C913" t="str">
        <f t="shared" si="43"/>
        <v>IPL-2022</v>
      </c>
      <c r="D913">
        <f t="shared" si="44"/>
        <v>2022</v>
      </c>
      <c r="E913" s="1">
        <v>44674</v>
      </c>
      <c r="F913" t="s">
        <v>320</v>
      </c>
      <c r="G913" t="s">
        <v>18</v>
      </c>
      <c r="H913" t="str">
        <f t="shared" si="42"/>
        <v>WIN</v>
      </c>
      <c r="I913" t="s">
        <v>320</v>
      </c>
      <c r="J913" t="s">
        <v>251</v>
      </c>
      <c r="K913" t="s">
        <v>318</v>
      </c>
    </row>
    <row r="914" spans="1:11" x14ac:dyDescent="0.3">
      <c r="A914" t="s">
        <v>319</v>
      </c>
      <c r="B914" t="s">
        <v>25</v>
      </c>
      <c r="C914" t="str">
        <f t="shared" si="43"/>
        <v>IPL-2022</v>
      </c>
      <c r="D914">
        <f t="shared" si="44"/>
        <v>2022</v>
      </c>
      <c r="E914" s="1">
        <v>44675</v>
      </c>
      <c r="F914" t="s">
        <v>25</v>
      </c>
      <c r="G914" t="s">
        <v>12</v>
      </c>
      <c r="H914" t="str">
        <f t="shared" si="42"/>
        <v>LOSS</v>
      </c>
      <c r="I914" t="s">
        <v>319</v>
      </c>
      <c r="J914" t="s">
        <v>265</v>
      </c>
      <c r="K914" t="s">
        <v>303</v>
      </c>
    </row>
    <row r="915" spans="1:11" x14ac:dyDescent="0.3">
      <c r="A915" t="s">
        <v>304</v>
      </c>
      <c r="B915" t="s">
        <v>17</v>
      </c>
      <c r="C915" t="str">
        <f t="shared" si="43"/>
        <v>IPL-2022</v>
      </c>
      <c r="D915">
        <f t="shared" si="44"/>
        <v>2022</v>
      </c>
      <c r="E915" s="1">
        <v>44676</v>
      </c>
      <c r="F915" t="s">
        <v>17</v>
      </c>
      <c r="G915" t="s">
        <v>12</v>
      </c>
      <c r="H915" t="str">
        <f t="shared" si="42"/>
        <v>LOSS</v>
      </c>
      <c r="I915" t="s">
        <v>304</v>
      </c>
      <c r="J915" t="s">
        <v>162</v>
      </c>
      <c r="K915" t="s">
        <v>303</v>
      </c>
    </row>
    <row r="916" spans="1:11" x14ac:dyDescent="0.3">
      <c r="A916" t="s">
        <v>22</v>
      </c>
      <c r="B916" t="s">
        <v>10</v>
      </c>
      <c r="C916" t="str">
        <f t="shared" si="43"/>
        <v>IPL-2022</v>
      </c>
      <c r="D916">
        <f t="shared" si="44"/>
        <v>2022</v>
      </c>
      <c r="E916" s="1">
        <v>44677</v>
      </c>
      <c r="F916" t="s">
        <v>10</v>
      </c>
      <c r="G916" t="s">
        <v>12</v>
      </c>
      <c r="H916" t="str">
        <f t="shared" si="42"/>
        <v>LOSS</v>
      </c>
      <c r="I916" t="s">
        <v>22</v>
      </c>
      <c r="J916" t="s">
        <v>332</v>
      </c>
      <c r="K916" t="s">
        <v>321</v>
      </c>
    </row>
    <row r="917" spans="1:11" x14ac:dyDescent="0.3">
      <c r="A917" t="s">
        <v>187</v>
      </c>
      <c r="B917" t="s">
        <v>320</v>
      </c>
      <c r="C917" t="str">
        <f t="shared" si="43"/>
        <v>IPL-2022</v>
      </c>
      <c r="D917">
        <f t="shared" si="44"/>
        <v>2022</v>
      </c>
      <c r="E917" s="1">
        <v>44678</v>
      </c>
      <c r="F917" t="s">
        <v>320</v>
      </c>
      <c r="G917" t="s">
        <v>12</v>
      </c>
      <c r="H917" t="str">
        <f t="shared" si="42"/>
        <v>WIN</v>
      </c>
      <c r="I917" t="s">
        <v>320</v>
      </c>
      <c r="J917" t="s">
        <v>329</v>
      </c>
      <c r="K917" t="s">
        <v>303</v>
      </c>
    </row>
    <row r="918" spans="1:11" x14ac:dyDescent="0.3">
      <c r="A918" t="s">
        <v>11</v>
      </c>
      <c r="B918" t="s">
        <v>281</v>
      </c>
      <c r="C918" t="str">
        <f t="shared" si="43"/>
        <v>IPL-2022</v>
      </c>
      <c r="D918">
        <f t="shared" si="44"/>
        <v>2022</v>
      </c>
      <c r="E918" s="1">
        <v>44679</v>
      </c>
      <c r="F918" t="s">
        <v>281</v>
      </c>
      <c r="G918" t="s">
        <v>12</v>
      </c>
      <c r="H918" t="str">
        <f t="shared" si="42"/>
        <v>WIN</v>
      </c>
      <c r="I918" t="s">
        <v>281</v>
      </c>
      <c r="J918" t="s">
        <v>278</v>
      </c>
      <c r="K918" t="s">
        <v>303</v>
      </c>
    </row>
    <row r="919" spans="1:11" x14ac:dyDescent="0.3">
      <c r="A919" t="s">
        <v>319</v>
      </c>
      <c r="B919" t="s">
        <v>304</v>
      </c>
      <c r="C919" t="str">
        <f t="shared" si="43"/>
        <v>IPL-2022</v>
      </c>
      <c r="D919">
        <f t="shared" si="44"/>
        <v>2022</v>
      </c>
      <c r="E919" s="1">
        <v>44680</v>
      </c>
      <c r="F919" t="s">
        <v>304</v>
      </c>
      <c r="G919" t="s">
        <v>12</v>
      </c>
      <c r="H919" t="str">
        <f t="shared" si="42"/>
        <v>LOSS</v>
      </c>
      <c r="I919" t="s">
        <v>319</v>
      </c>
      <c r="J919" t="s">
        <v>245</v>
      </c>
      <c r="K919" t="s">
        <v>321</v>
      </c>
    </row>
    <row r="920" spans="1:11" x14ac:dyDescent="0.3">
      <c r="A920" t="s">
        <v>10</v>
      </c>
      <c r="B920" t="s">
        <v>320</v>
      </c>
      <c r="C920" t="str">
        <f t="shared" si="43"/>
        <v>IPL-2022</v>
      </c>
      <c r="D920">
        <f t="shared" si="44"/>
        <v>2022</v>
      </c>
      <c r="E920" s="1">
        <v>44681</v>
      </c>
      <c r="F920" t="s">
        <v>10</v>
      </c>
      <c r="G920" t="s">
        <v>18</v>
      </c>
      <c r="H920" t="str">
        <f t="shared" si="42"/>
        <v>LOSS</v>
      </c>
      <c r="I920" t="s">
        <v>320</v>
      </c>
      <c r="J920" t="s">
        <v>296</v>
      </c>
      <c r="K920" t="s">
        <v>118</v>
      </c>
    </row>
    <row r="921" spans="1:11" x14ac:dyDescent="0.3">
      <c r="A921" t="s">
        <v>22</v>
      </c>
      <c r="B921" t="s">
        <v>25</v>
      </c>
      <c r="C921" t="str">
        <f t="shared" si="43"/>
        <v>IPL-2022</v>
      </c>
      <c r="D921">
        <f t="shared" si="44"/>
        <v>2022</v>
      </c>
      <c r="E921" s="1">
        <v>44681</v>
      </c>
      <c r="F921" t="s">
        <v>25</v>
      </c>
      <c r="G921" t="s">
        <v>12</v>
      </c>
      <c r="H921" t="str">
        <f t="shared" si="42"/>
        <v>WIN</v>
      </c>
      <c r="I921" t="s">
        <v>25</v>
      </c>
      <c r="J921" t="s">
        <v>238</v>
      </c>
      <c r="K921" t="s">
        <v>318</v>
      </c>
    </row>
    <row r="922" spans="1:11" x14ac:dyDescent="0.3">
      <c r="A922" t="s">
        <v>319</v>
      </c>
      <c r="B922" t="s">
        <v>281</v>
      </c>
      <c r="C922" t="str">
        <f t="shared" si="43"/>
        <v>IPL-2022</v>
      </c>
      <c r="D922">
        <f t="shared" si="44"/>
        <v>2022</v>
      </c>
      <c r="E922" s="1">
        <v>44682</v>
      </c>
      <c r="F922" t="s">
        <v>319</v>
      </c>
      <c r="G922" t="s">
        <v>18</v>
      </c>
      <c r="H922" t="str">
        <f t="shared" si="42"/>
        <v>WIN</v>
      </c>
      <c r="I922" t="s">
        <v>319</v>
      </c>
      <c r="J922" t="s">
        <v>333</v>
      </c>
      <c r="K922" t="s">
        <v>303</v>
      </c>
    </row>
    <row r="923" spans="1:11" x14ac:dyDescent="0.3">
      <c r="A923" t="s">
        <v>17</v>
      </c>
      <c r="B923" t="s">
        <v>187</v>
      </c>
      <c r="C923" t="str">
        <f t="shared" si="43"/>
        <v>IPL-2022</v>
      </c>
      <c r="D923">
        <f t="shared" si="44"/>
        <v>2022</v>
      </c>
      <c r="E923" s="1">
        <v>44682</v>
      </c>
      <c r="F923" t="s">
        <v>187</v>
      </c>
      <c r="G923" t="s">
        <v>12</v>
      </c>
      <c r="H923" t="str">
        <f t="shared" si="42"/>
        <v>LOSS</v>
      </c>
      <c r="I923" t="s">
        <v>17</v>
      </c>
      <c r="J923" t="s">
        <v>300</v>
      </c>
      <c r="K923" t="s">
        <v>321</v>
      </c>
    </row>
    <row r="924" spans="1:11" x14ac:dyDescent="0.3">
      <c r="A924" t="s">
        <v>22</v>
      </c>
      <c r="B924" t="s">
        <v>11</v>
      </c>
      <c r="C924" t="str">
        <f t="shared" si="43"/>
        <v>IPL-2022</v>
      </c>
      <c r="D924">
        <f t="shared" si="44"/>
        <v>2022</v>
      </c>
      <c r="E924" s="1">
        <v>44683</v>
      </c>
      <c r="F924" t="s">
        <v>11</v>
      </c>
      <c r="G924" t="s">
        <v>12</v>
      </c>
      <c r="H924" t="str">
        <f t="shared" si="42"/>
        <v>WIN</v>
      </c>
      <c r="I924" t="s">
        <v>11</v>
      </c>
      <c r="J924" t="s">
        <v>334</v>
      </c>
      <c r="K924" t="s">
        <v>303</v>
      </c>
    </row>
    <row r="925" spans="1:11" x14ac:dyDescent="0.3">
      <c r="A925" t="s">
        <v>320</v>
      </c>
      <c r="B925" t="s">
        <v>304</v>
      </c>
      <c r="C925" t="str">
        <f t="shared" si="43"/>
        <v>IPL-2022</v>
      </c>
      <c r="D925">
        <f t="shared" si="44"/>
        <v>2022</v>
      </c>
      <c r="E925" s="1">
        <v>44684</v>
      </c>
      <c r="F925" t="s">
        <v>320</v>
      </c>
      <c r="G925" t="s">
        <v>18</v>
      </c>
      <c r="H925" t="str">
        <f t="shared" si="42"/>
        <v>LOSS</v>
      </c>
      <c r="I925" t="s">
        <v>304</v>
      </c>
      <c r="J925" t="s">
        <v>286</v>
      </c>
      <c r="K925" t="s">
        <v>318</v>
      </c>
    </row>
    <row r="926" spans="1:11" x14ac:dyDescent="0.3">
      <c r="A926" t="s">
        <v>10</v>
      </c>
      <c r="B926" t="s">
        <v>17</v>
      </c>
      <c r="C926" t="str">
        <f t="shared" si="43"/>
        <v>IPL-2022</v>
      </c>
      <c r="D926">
        <f t="shared" si="44"/>
        <v>2022</v>
      </c>
      <c r="E926" s="1">
        <v>44685</v>
      </c>
      <c r="F926" t="s">
        <v>17</v>
      </c>
      <c r="G926" t="s">
        <v>12</v>
      </c>
      <c r="H926" t="str">
        <f t="shared" si="42"/>
        <v>LOSS</v>
      </c>
      <c r="I926" t="s">
        <v>10</v>
      </c>
      <c r="J926" t="s">
        <v>262</v>
      </c>
      <c r="K926" t="s">
        <v>321</v>
      </c>
    </row>
    <row r="927" spans="1:11" x14ac:dyDescent="0.3">
      <c r="A927" t="s">
        <v>281</v>
      </c>
      <c r="B927" t="s">
        <v>187</v>
      </c>
      <c r="C927" t="str">
        <f t="shared" si="43"/>
        <v>IPL-2022</v>
      </c>
      <c r="D927">
        <f t="shared" si="44"/>
        <v>2022</v>
      </c>
      <c r="E927" s="1">
        <v>44686</v>
      </c>
      <c r="F927" t="s">
        <v>187</v>
      </c>
      <c r="G927" t="s">
        <v>12</v>
      </c>
      <c r="H927" t="str">
        <f t="shared" si="42"/>
        <v>LOSS</v>
      </c>
      <c r="I927" t="s">
        <v>281</v>
      </c>
      <c r="J927" t="s">
        <v>121</v>
      </c>
      <c r="K927" t="s">
        <v>118</v>
      </c>
    </row>
    <row r="928" spans="1:11" x14ac:dyDescent="0.3">
      <c r="A928" t="s">
        <v>25</v>
      </c>
      <c r="B928" t="s">
        <v>320</v>
      </c>
      <c r="C928" t="str">
        <f t="shared" si="43"/>
        <v>IPL-2022</v>
      </c>
      <c r="D928">
        <f t="shared" si="44"/>
        <v>2022</v>
      </c>
      <c r="E928" s="1">
        <v>44687</v>
      </c>
      <c r="F928" t="s">
        <v>320</v>
      </c>
      <c r="G928" t="s">
        <v>12</v>
      </c>
      <c r="H928" t="str">
        <f t="shared" si="42"/>
        <v>LOSS</v>
      </c>
      <c r="I928" t="s">
        <v>25</v>
      </c>
      <c r="J928" t="s">
        <v>335</v>
      </c>
      <c r="K928" t="s">
        <v>118</v>
      </c>
    </row>
    <row r="929" spans="1:11" x14ac:dyDescent="0.3">
      <c r="A929" t="s">
        <v>319</v>
      </c>
      <c r="B929" t="s">
        <v>11</v>
      </c>
      <c r="C929" t="str">
        <f t="shared" si="43"/>
        <v>IPL-2022</v>
      </c>
      <c r="D929">
        <f t="shared" si="44"/>
        <v>2022</v>
      </c>
      <c r="E929" s="1">
        <v>44688</v>
      </c>
      <c r="F929" t="s">
        <v>11</v>
      </c>
      <c r="G929" t="s">
        <v>12</v>
      </c>
      <c r="H929" t="str">
        <f t="shared" si="42"/>
        <v>LOSS</v>
      </c>
      <c r="I929" t="s">
        <v>319</v>
      </c>
      <c r="J929" t="s">
        <v>325</v>
      </c>
      <c r="K929" t="s">
        <v>321</v>
      </c>
    </row>
    <row r="930" spans="1:11" x14ac:dyDescent="0.3">
      <c r="A930" t="s">
        <v>304</v>
      </c>
      <c r="B930" t="s">
        <v>22</v>
      </c>
      <c r="C930" t="str">
        <f t="shared" si="43"/>
        <v>IPL-2022</v>
      </c>
      <c r="D930">
        <f t="shared" si="44"/>
        <v>2022</v>
      </c>
      <c r="E930" s="1">
        <v>44688</v>
      </c>
      <c r="F930" t="s">
        <v>304</v>
      </c>
      <c r="G930" t="s">
        <v>18</v>
      </c>
      <c r="H930" t="str">
        <f t="shared" si="42"/>
        <v>LOSS</v>
      </c>
      <c r="I930" t="s">
        <v>22</v>
      </c>
      <c r="J930" t="s">
        <v>336</v>
      </c>
      <c r="K930" t="s">
        <v>303</v>
      </c>
    </row>
    <row r="931" spans="1:11" x14ac:dyDescent="0.3">
      <c r="A931" t="s">
        <v>17</v>
      </c>
      <c r="B931" t="s">
        <v>281</v>
      </c>
      <c r="C931" t="str">
        <f t="shared" si="43"/>
        <v>IPL-2022</v>
      </c>
      <c r="D931">
        <f t="shared" si="44"/>
        <v>2022</v>
      </c>
      <c r="E931" s="1">
        <v>44689</v>
      </c>
      <c r="F931" t="s">
        <v>281</v>
      </c>
      <c r="G931" t="s">
        <v>12</v>
      </c>
      <c r="H931" t="str">
        <f t="shared" si="42"/>
        <v>LOSS</v>
      </c>
      <c r="I931" t="s">
        <v>17</v>
      </c>
      <c r="J931" t="s">
        <v>337</v>
      </c>
      <c r="K931" t="s">
        <v>318</v>
      </c>
    </row>
    <row r="932" spans="1:11" x14ac:dyDescent="0.3">
      <c r="A932" t="s">
        <v>10</v>
      </c>
      <c r="B932" t="s">
        <v>187</v>
      </c>
      <c r="C932" t="str">
        <f t="shared" si="43"/>
        <v>IPL-2022</v>
      </c>
      <c r="D932">
        <f t="shared" si="44"/>
        <v>2022</v>
      </c>
      <c r="E932" s="1">
        <v>44689</v>
      </c>
      <c r="F932" t="s">
        <v>10</v>
      </c>
      <c r="G932" t="s">
        <v>18</v>
      </c>
      <c r="H932" t="str">
        <f t="shared" si="42"/>
        <v>WIN</v>
      </c>
      <c r="I932" t="s">
        <v>10</v>
      </c>
      <c r="J932" t="s">
        <v>322</v>
      </c>
      <c r="K932" t="s">
        <v>303</v>
      </c>
    </row>
    <row r="933" spans="1:11" x14ac:dyDescent="0.3">
      <c r="A933" t="s">
        <v>11</v>
      </c>
      <c r="B933" t="s">
        <v>25</v>
      </c>
      <c r="C933" t="str">
        <f t="shared" si="43"/>
        <v>IPL-2022</v>
      </c>
      <c r="D933">
        <f t="shared" si="44"/>
        <v>2022</v>
      </c>
      <c r="E933" s="1">
        <v>44690</v>
      </c>
      <c r="F933" t="s">
        <v>25</v>
      </c>
      <c r="G933" t="s">
        <v>12</v>
      </c>
      <c r="H933" t="str">
        <f t="shared" si="42"/>
        <v>LOSS</v>
      </c>
      <c r="I933" t="s">
        <v>11</v>
      </c>
      <c r="J933" t="s">
        <v>253</v>
      </c>
      <c r="K933" t="s">
        <v>318</v>
      </c>
    </row>
    <row r="934" spans="1:11" x14ac:dyDescent="0.3">
      <c r="A934" t="s">
        <v>320</v>
      </c>
      <c r="B934" t="s">
        <v>319</v>
      </c>
      <c r="C934" t="str">
        <f t="shared" si="43"/>
        <v>IPL-2022</v>
      </c>
      <c r="D934">
        <f t="shared" si="44"/>
        <v>2022</v>
      </c>
      <c r="E934" s="1">
        <v>44691</v>
      </c>
      <c r="F934" t="s">
        <v>320</v>
      </c>
      <c r="G934" t="s">
        <v>18</v>
      </c>
      <c r="H934" t="str">
        <f t="shared" si="42"/>
        <v>WIN</v>
      </c>
      <c r="I934" t="s">
        <v>320</v>
      </c>
      <c r="J934" t="s">
        <v>292</v>
      </c>
      <c r="K934" t="s">
        <v>321</v>
      </c>
    </row>
    <row r="935" spans="1:11" x14ac:dyDescent="0.3">
      <c r="A935" t="s">
        <v>22</v>
      </c>
      <c r="B935" t="s">
        <v>281</v>
      </c>
      <c r="C935" t="str">
        <f t="shared" si="43"/>
        <v>IPL-2022</v>
      </c>
      <c r="D935">
        <f t="shared" si="44"/>
        <v>2022</v>
      </c>
      <c r="E935" s="1">
        <v>44692</v>
      </c>
      <c r="F935" t="s">
        <v>281</v>
      </c>
      <c r="G935" t="s">
        <v>12</v>
      </c>
      <c r="H935" t="str">
        <f t="shared" si="42"/>
        <v>WIN</v>
      </c>
      <c r="I935" t="s">
        <v>281</v>
      </c>
      <c r="J935" t="s">
        <v>158</v>
      </c>
      <c r="K935" t="s">
        <v>318</v>
      </c>
    </row>
    <row r="936" spans="1:11" x14ac:dyDescent="0.3">
      <c r="A936" t="s">
        <v>17</v>
      </c>
      <c r="B936" t="s">
        <v>25</v>
      </c>
      <c r="C936" t="str">
        <f t="shared" si="43"/>
        <v>IPL-2022</v>
      </c>
      <c r="D936">
        <f t="shared" si="44"/>
        <v>2022</v>
      </c>
      <c r="E936" s="1">
        <v>44693</v>
      </c>
      <c r="F936" t="s">
        <v>25</v>
      </c>
      <c r="G936" t="s">
        <v>12</v>
      </c>
      <c r="H936" t="str">
        <f t="shared" si="42"/>
        <v>WIN</v>
      </c>
      <c r="I936" t="s">
        <v>25</v>
      </c>
      <c r="J936" t="s">
        <v>338</v>
      </c>
      <c r="K936" t="s">
        <v>303</v>
      </c>
    </row>
    <row r="937" spans="1:11" x14ac:dyDescent="0.3">
      <c r="A937" t="s">
        <v>304</v>
      </c>
      <c r="B937" t="s">
        <v>10</v>
      </c>
      <c r="C937" t="str">
        <f t="shared" si="43"/>
        <v>IPL-2022</v>
      </c>
      <c r="D937">
        <f t="shared" si="44"/>
        <v>2022</v>
      </c>
      <c r="E937" s="1">
        <v>44694</v>
      </c>
      <c r="F937" t="s">
        <v>10</v>
      </c>
      <c r="G937" t="s">
        <v>12</v>
      </c>
      <c r="H937" t="str">
        <f t="shared" si="42"/>
        <v>LOSS</v>
      </c>
      <c r="I937" t="s">
        <v>304</v>
      </c>
      <c r="J937" t="s">
        <v>283</v>
      </c>
      <c r="K937" t="s">
        <v>118</v>
      </c>
    </row>
    <row r="938" spans="1:11" x14ac:dyDescent="0.3">
      <c r="A938" t="s">
        <v>11</v>
      </c>
      <c r="B938" t="s">
        <v>187</v>
      </c>
      <c r="C938" t="str">
        <f t="shared" si="43"/>
        <v>IPL-2022</v>
      </c>
      <c r="D938">
        <f t="shared" si="44"/>
        <v>2022</v>
      </c>
      <c r="E938" s="1">
        <v>44695</v>
      </c>
      <c r="F938" t="s">
        <v>11</v>
      </c>
      <c r="G938" t="s">
        <v>18</v>
      </c>
      <c r="H938" t="str">
        <f t="shared" si="42"/>
        <v>WIN</v>
      </c>
      <c r="I938" t="s">
        <v>11</v>
      </c>
      <c r="J938" t="s">
        <v>221</v>
      </c>
      <c r="K938" t="s">
        <v>321</v>
      </c>
    </row>
    <row r="939" spans="1:11" x14ac:dyDescent="0.3">
      <c r="A939" t="s">
        <v>22</v>
      </c>
      <c r="B939" t="s">
        <v>319</v>
      </c>
      <c r="C939" t="str">
        <f t="shared" si="43"/>
        <v>IPL-2022</v>
      </c>
      <c r="D939">
        <f t="shared" si="44"/>
        <v>2022</v>
      </c>
      <c r="E939" s="1">
        <v>44696</v>
      </c>
      <c r="F939" t="s">
        <v>22</v>
      </c>
      <c r="G939" t="s">
        <v>18</v>
      </c>
      <c r="H939" t="str">
        <f t="shared" si="42"/>
        <v>WIN</v>
      </c>
      <c r="I939" t="s">
        <v>22</v>
      </c>
      <c r="J939" t="s">
        <v>225</v>
      </c>
      <c r="K939" t="s">
        <v>118</v>
      </c>
    </row>
    <row r="940" spans="1:11" x14ac:dyDescent="0.3">
      <c r="A940" t="s">
        <v>17</v>
      </c>
      <c r="B940" t="s">
        <v>320</v>
      </c>
      <c r="C940" t="str">
        <f t="shared" si="43"/>
        <v>IPL-2022</v>
      </c>
      <c r="D940">
        <f t="shared" si="44"/>
        <v>2022</v>
      </c>
      <c r="E940" s="1">
        <v>44696</v>
      </c>
      <c r="F940" t="s">
        <v>17</v>
      </c>
      <c r="G940" t="s">
        <v>18</v>
      </c>
      <c r="H940" t="str">
        <f t="shared" si="42"/>
        <v>LOSS</v>
      </c>
      <c r="I940" t="s">
        <v>320</v>
      </c>
      <c r="J940" t="s">
        <v>161</v>
      </c>
      <c r="K940" t="s">
        <v>303</v>
      </c>
    </row>
    <row r="941" spans="1:11" x14ac:dyDescent="0.3">
      <c r="A941" t="s">
        <v>281</v>
      </c>
      <c r="B941" t="s">
        <v>304</v>
      </c>
      <c r="C941" t="str">
        <f t="shared" si="43"/>
        <v>IPL-2022</v>
      </c>
      <c r="D941">
        <f t="shared" si="44"/>
        <v>2022</v>
      </c>
      <c r="E941" s="1">
        <v>44697</v>
      </c>
      <c r="F941" t="s">
        <v>304</v>
      </c>
      <c r="G941" t="s">
        <v>12</v>
      </c>
      <c r="H941" t="str">
        <f t="shared" si="42"/>
        <v>LOSS</v>
      </c>
      <c r="I941" t="s">
        <v>281</v>
      </c>
      <c r="J941" t="s">
        <v>339</v>
      </c>
      <c r="K941" t="s">
        <v>318</v>
      </c>
    </row>
    <row r="942" spans="1:11" x14ac:dyDescent="0.3">
      <c r="A942" t="s">
        <v>187</v>
      </c>
      <c r="B942" t="s">
        <v>25</v>
      </c>
      <c r="C942" t="str">
        <f t="shared" si="43"/>
        <v>IPL-2022</v>
      </c>
      <c r="D942">
        <f t="shared" si="44"/>
        <v>2022</v>
      </c>
      <c r="E942" s="1">
        <v>44698</v>
      </c>
      <c r="F942" t="s">
        <v>25</v>
      </c>
      <c r="G942" t="s">
        <v>12</v>
      </c>
      <c r="H942" t="str">
        <f t="shared" si="42"/>
        <v>LOSS</v>
      </c>
      <c r="I942" t="s">
        <v>187</v>
      </c>
      <c r="J942" t="s">
        <v>260</v>
      </c>
      <c r="K942" t="s">
        <v>303</v>
      </c>
    </row>
    <row r="943" spans="1:11" x14ac:dyDescent="0.3">
      <c r="A943" t="s">
        <v>319</v>
      </c>
      <c r="B943" t="s">
        <v>11</v>
      </c>
      <c r="C943" t="str">
        <f t="shared" si="43"/>
        <v>IPL-2022</v>
      </c>
      <c r="D943">
        <f t="shared" si="44"/>
        <v>2022</v>
      </c>
      <c r="E943" s="1">
        <v>44699</v>
      </c>
      <c r="F943" t="s">
        <v>319</v>
      </c>
      <c r="G943" t="s">
        <v>18</v>
      </c>
      <c r="H943" t="str">
        <f t="shared" si="42"/>
        <v>WIN</v>
      </c>
      <c r="I943" t="s">
        <v>319</v>
      </c>
      <c r="J943" t="s">
        <v>236</v>
      </c>
      <c r="K943" t="s">
        <v>318</v>
      </c>
    </row>
    <row r="944" spans="1:11" x14ac:dyDescent="0.3">
      <c r="A944" t="s">
        <v>320</v>
      </c>
      <c r="B944" t="s">
        <v>10</v>
      </c>
      <c r="C944" t="str">
        <f t="shared" si="43"/>
        <v>IPL-2022</v>
      </c>
      <c r="D944">
        <f t="shared" si="44"/>
        <v>2022</v>
      </c>
      <c r="E944" s="1">
        <v>44700</v>
      </c>
      <c r="F944" t="s">
        <v>320</v>
      </c>
      <c r="G944" t="s">
        <v>18</v>
      </c>
      <c r="H944" t="str">
        <f t="shared" si="42"/>
        <v>LOSS</v>
      </c>
      <c r="I944" t="s">
        <v>10</v>
      </c>
      <c r="J944" t="s">
        <v>151</v>
      </c>
      <c r="K944" t="s">
        <v>303</v>
      </c>
    </row>
    <row r="945" spans="1:11" x14ac:dyDescent="0.3">
      <c r="A945" t="s">
        <v>17</v>
      </c>
      <c r="B945" t="s">
        <v>22</v>
      </c>
      <c r="C945" t="str">
        <f t="shared" si="43"/>
        <v>IPL-2022</v>
      </c>
      <c r="D945">
        <f t="shared" si="44"/>
        <v>2022</v>
      </c>
      <c r="E945" s="1">
        <v>44701</v>
      </c>
      <c r="F945" t="s">
        <v>17</v>
      </c>
      <c r="G945" t="s">
        <v>18</v>
      </c>
      <c r="H945" t="str">
        <f t="shared" si="42"/>
        <v>LOSS</v>
      </c>
      <c r="I945" t="s">
        <v>22</v>
      </c>
      <c r="J945" t="s">
        <v>133</v>
      </c>
      <c r="K945" t="s">
        <v>118</v>
      </c>
    </row>
    <row r="946" spans="1:11" x14ac:dyDescent="0.3">
      <c r="A946" t="s">
        <v>281</v>
      </c>
      <c r="B946" t="s">
        <v>25</v>
      </c>
      <c r="C946" t="str">
        <f t="shared" si="43"/>
        <v>IPL-2022</v>
      </c>
      <c r="D946">
        <f t="shared" si="44"/>
        <v>2022</v>
      </c>
      <c r="E946" s="1">
        <v>44702</v>
      </c>
      <c r="F946" t="s">
        <v>25</v>
      </c>
      <c r="G946" t="s">
        <v>12</v>
      </c>
      <c r="H946" t="str">
        <f t="shared" si="42"/>
        <v>WIN</v>
      </c>
      <c r="I946" t="s">
        <v>25</v>
      </c>
      <c r="J946" t="s">
        <v>253</v>
      </c>
      <c r="K946" t="s">
        <v>303</v>
      </c>
    </row>
    <row r="947" spans="1:11" x14ac:dyDescent="0.3">
      <c r="A947" t="s">
        <v>187</v>
      </c>
      <c r="B947" t="s">
        <v>304</v>
      </c>
      <c r="C947" t="str">
        <f t="shared" si="43"/>
        <v>IPL-2022</v>
      </c>
      <c r="D947">
        <f t="shared" si="44"/>
        <v>2022</v>
      </c>
      <c r="E947" s="1">
        <v>44703</v>
      </c>
      <c r="F947" t="s">
        <v>187</v>
      </c>
      <c r="G947" t="s">
        <v>18</v>
      </c>
      <c r="H947" t="str">
        <f t="shared" si="42"/>
        <v>LOSS</v>
      </c>
      <c r="I947" t="s">
        <v>304</v>
      </c>
      <c r="J947" t="s">
        <v>310</v>
      </c>
      <c r="K947" t="s">
        <v>303</v>
      </c>
    </row>
    <row r="948" spans="1:11" x14ac:dyDescent="0.3">
      <c r="A948" t="s">
        <v>22</v>
      </c>
      <c r="B948" t="s">
        <v>320</v>
      </c>
      <c r="C948" t="str">
        <f t="shared" si="43"/>
        <v>IPL-2022</v>
      </c>
      <c r="D948">
        <f t="shared" si="44"/>
        <v>2022</v>
      </c>
      <c r="E948" s="1">
        <v>44705</v>
      </c>
      <c r="F948" t="s">
        <v>320</v>
      </c>
      <c r="G948" t="s">
        <v>12</v>
      </c>
      <c r="H948" t="str">
        <f t="shared" si="42"/>
        <v>WIN</v>
      </c>
      <c r="I948" t="s">
        <v>320</v>
      </c>
      <c r="J948" t="s">
        <v>194</v>
      </c>
      <c r="K948" t="s">
        <v>340</v>
      </c>
    </row>
    <row r="949" spans="1:11" x14ac:dyDescent="0.3">
      <c r="A949" t="s">
        <v>10</v>
      </c>
      <c r="B949" t="s">
        <v>319</v>
      </c>
      <c r="C949" t="str">
        <f t="shared" si="43"/>
        <v>IPL-2022</v>
      </c>
      <c r="D949">
        <f t="shared" si="44"/>
        <v>2022</v>
      </c>
      <c r="E949" s="1">
        <v>44706</v>
      </c>
      <c r="F949" t="s">
        <v>319</v>
      </c>
      <c r="G949" t="s">
        <v>12</v>
      </c>
      <c r="H949" t="str">
        <f t="shared" si="42"/>
        <v>LOSS</v>
      </c>
      <c r="I949" t="s">
        <v>10</v>
      </c>
      <c r="J949" t="s">
        <v>341</v>
      </c>
      <c r="K949" t="s">
        <v>340</v>
      </c>
    </row>
    <row r="950" spans="1:11" x14ac:dyDescent="0.3">
      <c r="A950" t="s">
        <v>10</v>
      </c>
      <c r="B950" t="s">
        <v>22</v>
      </c>
      <c r="C950" t="str">
        <f t="shared" si="43"/>
        <v>IPL-2022</v>
      </c>
      <c r="D950">
        <f t="shared" si="44"/>
        <v>2022</v>
      </c>
      <c r="E950" s="1">
        <v>44708</v>
      </c>
      <c r="F950" t="s">
        <v>22</v>
      </c>
      <c r="G950" t="s">
        <v>12</v>
      </c>
      <c r="H950" t="str">
        <f t="shared" si="42"/>
        <v>WIN</v>
      </c>
      <c r="I950" t="s">
        <v>22</v>
      </c>
      <c r="J950" t="s">
        <v>257</v>
      </c>
      <c r="K950" t="s">
        <v>308</v>
      </c>
    </row>
    <row r="951" spans="1:11" x14ac:dyDescent="0.3">
      <c r="A951" t="s">
        <v>22</v>
      </c>
      <c r="B951" t="s">
        <v>320</v>
      </c>
      <c r="C951" t="str">
        <f t="shared" si="43"/>
        <v>IPL-2022</v>
      </c>
      <c r="D951">
        <f t="shared" si="44"/>
        <v>2022</v>
      </c>
      <c r="E951" s="1">
        <v>44710</v>
      </c>
      <c r="F951" t="s">
        <v>22</v>
      </c>
      <c r="G951" t="s">
        <v>18</v>
      </c>
      <c r="H951" t="str">
        <f t="shared" si="42"/>
        <v>LOSS</v>
      </c>
      <c r="I951" t="s">
        <v>320</v>
      </c>
      <c r="J951" t="s">
        <v>228</v>
      </c>
      <c r="K951" t="s">
        <v>308</v>
      </c>
    </row>
    <row r="952" spans="1:11" x14ac:dyDescent="0.3">
      <c r="A952" t="s">
        <v>17</v>
      </c>
      <c r="B952" t="s">
        <v>320</v>
      </c>
      <c r="C952" t="str">
        <f t="shared" si="43"/>
        <v>IPL-2023</v>
      </c>
      <c r="D952">
        <f t="shared" si="44"/>
        <v>2023</v>
      </c>
      <c r="E952" s="1">
        <v>45016</v>
      </c>
      <c r="F952" t="s">
        <v>320</v>
      </c>
      <c r="G952" t="s">
        <v>12</v>
      </c>
      <c r="H952" t="str">
        <f t="shared" si="42"/>
        <v>WIN</v>
      </c>
      <c r="I952" t="s">
        <v>320</v>
      </c>
      <c r="J952" t="s">
        <v>251</v>
      </c>
      <c r="K952" t="s">
        <v>308</v>
      </c>
    </row>
    <row r="953" spans="1:11" x14ac:dyDescent="0.3">
      <c r="A953" t="s">
        <v>304</v>
      </c>
      <c r="B953" t="s">
        <v>11</v>
      </c>
      <c r="C953" t="str">
        <f t="shared" si="43"/>
        <v>IPL-2023</v>
      </c>
      <c r="D953">
        <f t="shared" si="44"/>
        <v>2023</v>
      </c>
      <c r="E953" s="1">
        <v>45017</v>
      </c>
      <c r="F953" t="s">
        <v>11</v>
      </c>
      <c r="G953" t="s">
        <v>12</v>
      </c>
      <c r="H953" t="str">
        <f t="shared" si="42"/>
        <v>LOSS</v>
      </c>
      <c r="I953" t="s">
        <v>304</v>
      </c>
      <c r="J953" t="s">
        <v>342</v>
      </c>
      <c r="K953" t="s">
        <v>343</v>
      </c>
    </row>
    <row r="954" spans="1:11" x14ac:dyDescent="0.3">
      <c r="A954" t="s">
        <v>319</v>
      </c>
      <c r="B954" t="s">
        <v>281</v>
      </c>
      <c r="C954" t="str">
        <f t="shared" si="43"/>
        <v>IPL-2023</v>
      </c>
      <c r="D954">
        <f t="shared" si="44"/>
        <v>2023</v>
      </c>
      <c r="E954" s="1">
        <v>45017</v>
      </c>
      <c r="F954" t="s">
        <v>281</v>
      </c>
      <c r="G954" t="s">
        <v>12</v>
      </c>
      <c r="H954" t="str">
        <f t="shared" si="42"/>
        <v>LOSS</v>
      </c>
      <c r="I954" t="s">
        <v>319</v>
      </c>
      <c r="J954" t="s">
        <v>344</v>
      </c>
      <c r="K954" t="s">
        <v>345</v>
      </c>
    </row>
    <row r="955" spans="1:11" x14ac:dyDescent="0.3">
      <c r="A955" t="s">
        <v>22</v>
      </c>
      <c r="B955" t="s">
        <v>187</v>
      </c>
      <c r="C955" t="str">
        <f t="shared" si="43"/>
        <v>IPL-2023</v>
      </c>
      <c r="D955">
        <f t="shared" si="44"/>
        <v>2023</v>
      </c>
      <c r="E955" s="1">
        <v>45018</v>
      </c>
      <c r="F955" t="s">
        <v>187</v>
      </c>
      <c r="G955" t="s">
        <v>12</v>
      </c>
      <c r="H955" t="str">
        <f t="shared" si="42"/>
        <v>LOSS</v>
      </c>
      <c r="I955" t="s">
        <v>22</v>
      </c>
      <c r="J955" t="s">
        <v>257</v>
      </c>
      <c r="K955" t="s">
        <v>346</v>
      </c>
    </row>
    <row r="956" spans="1:11" x14ac:dyDescent="0.3">
      <c r="A956" t="s">
        <v>25</v>
      </c>
      <c r="B956" t="s">
        <v>10</v>
      </c>
      <c r="C956" t="str">
        <f t="shared" si="43"/>
        <v>IPL-2023</v>
      </c>
      <c r="D956">
        <f t="shared" si="44"/>
        <v>2023</v>
      </c>
      <c r="E956" s="1">
        <v>45018</v>
      </c>
      <c r="F956" t="s">
        <v>10</v>
      </c>
      <c r="G956" t="s">
        <v>12</v>
      </c>
      <c r="H956" t="str">
        <f t="shared" si="42"/>
        <v>WIN</v>
      </c>
      <c r="I956" t="s">
        <v>10</v>
      </c>
      <c r="J956" t="s">
        <v>172</v>
      </c>
      <c r="K956" t="s">
        <v>347</v>
      </c>
    </row>
    <row r="957" spans="1:11" x14ac:dyDescent="0.3">
      <c r="A957" t="s">
        <v>17</v>
      </c>
      <c r="B957" t="s">
        <v>319</v>
      </c>
      <c r="C957" t="str">
        <f t="shared" si="43"/>
        <v>IPL-2023</v>
      </c>
      <c r="D957">
        <f t="shared" si="44"/>
        <v>2023</v>
      </c>
      <c r="E957" s="1">
        <v>45019</v>
      </c>
      <c r="F957" t="s">
        <v>319</v>
      </c>
      <c r="G957" t="s">
        <v>12</v>
      </c>
      <c r="H957" t="str">
        <f t="shared" si="42"/>
        <v>LOSS</v>
      </c>
      <c r="I957" t="s">
        <v>17</v>
      </c>
      <c r="J957" t="s">
        <v>306</v>
      </c>
      <c r="K957" t="s">
        <v>302</v>
      </c>
    </row>
    <row r="958" spans="1:11" x14ac:dyDescent="0.3">
      <c r="A958" t="s">
        <v>281</v>
      </c>
      <c r="B958" t="s">
        <v>320</v>
      </c>
      <c r="C958" t="str">
        <f t="shared" si="43"/>
        <v>IPL-2023</v>
      </c>
      <c r="D958">
        <f t="shared" si="44"/>
        <v>2023</v>
      </c>
      <c r="E958" s="1">
        <v>45020</v>
      </c>
      <c r="F958" t="s">
        <v>320</v>
      </c>
      <c r="G958" t="s">
        <v>12</v>
      </c>
      <c r="H958" t="str">
        <f t="shared" si="42"/>
        <v>WIN</v>
      </c>
      <c r="I958" t="s">
        <v>320</v>
      </c>
      <c r="J958" t="s">
        <v>348</v>
      </c>
      <c r="K958" t="s">
        <v>309</v>
      </c>
    </row>
    <row r="959" spans="1:11" x14ac:dyDescent="0.3">
      <c r="A959" t="s">
        <v>304</v>
      </c>
      <c r="B959" t="s">
        <v>22</v>
      </c>
      <c r="C959" t="str">
        <f t="shared" si="43"/>
        <v>IPL-2023</v>
      </c>
      <c r="D959">
        <f t="shared" si="44"/>
        <v>2023</v>
      </c>
      <c r="E959" s="1">
        <v>45021</v>
      </c>
      <c r="F959" t="s">
        <v>22</v>
      </c>
      <c r="G959" t="s">
        <v>12</v>
      </c>
      <c r="H959" t="str">
        <f t="shared" si="42"/>
        <v>LOSS</v>
      </c>
      <c r="I959" t="s">
        <v>304</v>
      </c>
      <c r="J959" t="s">
        <v>349</v>
      </c>
      <c r="K959" t="s">
        <v>350</v>
      </c>
    </row>
    <row r="960" spans="1:11" x14ac:dyDescent="0.3">
      <c r="A960" t="s">
        <v>11</v>
      </c>
      <c r="B960" t="s">
        <v>10</v>
      </c>
      <c r="C960" t="str">
        <f t="shared" si="43"/>
        <v>IPL-2023</v>
      </c>
      <c r="D960">
        <f t="shared" si="44"/>
        <v>2023</v>
      </c>
      <c r="E960" s="1">
        <v>45022</v>
      </c>
      <c r="F960" t="s">
        <v>10</v>
      </c>
      <c r="G960" t="s">
        <v>12</v>
      </c>
      <c r="H960" t="str">
        <f t="shared" si="42"/>
        <v>LOSS</v>
      </c>
      <c r="I960" t="s">
        <v>11</v>
      </c>
      <c r="J960" t="s">
        <v>339</v>
      </c>
      <c r="K960" t="s">
        <v>340</v>
      </c>
    </row>
    <row r="961" spans="1:11" x14ac:dyDescent="0.3">
      <c r="A961" t="s">
        <v>187</v>
      </c>
      <c r="B961" t="s">
        <v>319</v>
      </c>
      <c r="C961" t="str">
        <f t="shared" si="43"/>
        <v>IPL-2023</v>
      </c>
      <c r="D961">
        <f t="shared" si="44"/>
        <v>2023</v>
      </c>
      <c r="E961" s="1">
        <v>45023</v>
      </c>
      <c r="F961" t="s">
        <v>187</v>
      </c>
      <c r="G961" t="s">
        <v>18</v>
      </c>
      <c r="H961" t="str">
        <f t="shared" si="42"/>
        <v>LOSS</v>
      </c>
      <c r="I961" t="s">
        <v>319</v>
      </c>
      <c r="J961" t="s">
        <v>245</v>
      </c>
      <c r="K961" t="s">
        <v>345</v>
      </c>
    </row>
    <row r="962" spans="1:11" x14ac:dyDescent="0.3">
      <c r="A962" t="s">
        <v>22</v>
      </c>
      <c r="B962" t="s">
        <v>281</v>
      </c>
      <c r="C962" t="str">
        <f t="shared" si="43"/>
        <v>IPL-2023</v>
      </c>
      <c r="D962">
        <f t="shared" si="44"/>
        <v>2023</v>
      </c>
      <c r="E962" s="1">
        <v>45024</v>
      </c>
      <c r="F962" t="s">
        <v>281</v>
      </c>
      <c r="G962" t="s">
        <v>12</v>
      </c>
      <c r="H962" t="str">
        <f t="shared" ref="H962:H1025" si="45">IF(F962=I962,"WIN","LOSS")</f>
        <v>LOSS</v>
      </c>
      <c r="I962" t="s">
        <v>22</v>
      </c>
      <c r="J962" t="s">
        <v>336</v>
      </c>
      <c r="K962" t="s">
        <v>350</v>
      </c>
    </row>
    <row r="963" spans="1:11" x14ac:dyDescent="0.3">
      <c r="A963" t="s">
        <v>25</v>
      </c>
      <c r="B963" t="s">
        <v>17</v>
      </c>
      <c r="C963" t="str">
        <f t="shared" ref="C963:C1026" si="46">_xlfn.CONCAT("IPL-",D963)</f>
        <v>IPL-2023</v>
      </c>
      <c r="D963">
        <f t="shared" ref="D963:D1026" si="47">YEAR(E963)</f>
        <v>2023</v>
      </c>
      <c r="E963" s="1">
        <v>45024</v>
      </c>
      <c r="F963" t="s">
        <v>17</v>
      </c>
      <c r="G963" t="s">
        <v>12</v>
      </c>
      <c r="H963" t="str">
        <f t="shared" si="45"/>
        <v>WIN</v>
      </c>
      <c r="I963" t="s">
        <v>17</v>
      </c>
      <c r="J963" t="s">
        <v>167</v>
      </c>
      <c r="K963" t="s">
        <v>303</v>
      </c>
    </row>
    <row r="964" spans="1:11" x14ac:dyDescent="0.3">
      <c r="A964" t="s">
        <v>304</v>
      </c>
      <c r="B964" t="s">
        <v>187</v>
      </c>
      <c r="C964" t="str">
        <f t="shared" si="46"/>
        <v>IPL-2023</v>
      </c>
      <c r="D964">
        <f t="shared" si="47"/>
        <v>2023</v>
      </c>
      <c r="E964" s="1">
        <v>45025</v>
      </c>
      <c r="F964" t="s">
        <v>187</v>
      </c>
      <c r="G964" t="s">
        <v>12</v>
      </c>
      <c r="H964" t="str">
        <f t="shared" si="45"/>
        <v>WIN</v>
      </c>
      <c r="I964" t="s">
        <v>187</v>
      </c>
      <c r="J964" t="s">
        <v>162</v>
      </c>
      <c r="K964" t="s">
        <v>346</v>
      </c>
    </row>
    <row r="965" spans="1:11" x14ac:dyDescent="0.3">
      <c r="A965" t="s">
        <v>320</v>
      </c>
      <c r="B965" t="s">
        <v>11</v>
      </c>
      <c r="C965" t="str">
        <f t="shared" si="46"/>
        <v>IPL-2023</v>
      </c>
      <c r="D965">
        <f t="shared" si="47"/>
        <v>2023</v>
      </c>
      <c r="E965" s="1">
        <v>45025</v>
      </c>
      <c r="F965" t="s">
        <v>320</v>
      </c>
      <c r="G965" t="s">
        <v>18</v>
      </c>
      <c r="H965" t="str">
        <f t="shared" si="45"/>
        <v>LOSS</v>
      </c>
      <c r="I965" t="s">
        <v>11</v>
      </c>
      <c r="J965" t="s">
        <v>334</v>
      </c>
      <c r="K965" t="s">
        <v>308</v>
      </c>
    </row>
    <row r="966" spans="1:11" x14ac:dyDescent="0.3">
      <c r="A966" t="s">
        <v>10</v>
      </c>
      <c r="B966" t="s">
        <v>319</v>
      </c>
      <c r="C966" t="str">
        <f t="shared" si="46"/>
        <v>IPL-2023</v>
      </c>
      <c r="D966">
        <f t="shared" si="47"/>
        <v>2023</v>
      </c>
      <c r="E966" s="1">
        <v>45026</v>
      </c>
      <c r="F966" t="s">
        <v>319</v>
      </c>
      <c r="G966" t="s">
        <v>12</v>
      </c>
      <c r="H966" t="str">
        <f t="shared" si="45"/>
        <v>WIN</v>
      </c>
      <c r="I966" t="s">
        <v>319</v>
      </c>
      <c r="J966" t="s">
        <v>351</v>
      </c>
      <c r="K966" t="s">
        <v>347</v>
      </c>
    </row>
    <row r="967" spans="1:11" x14ac:dyDescent="0.3">
      <c r="A967" t="s">
        <v>281</v>
      </c>
      <c r="B967" t="s">
        <v>25</v>
      </c>
      <c r="C967" t="str">
        <f t="shared" si="46"/>
        <v>IPL-2023</v>
      </c>
      <c r="D967">
        <f t="shared" si="47"/>
        <v>2023</v>
      </c>
      <c r="E967" s="1">
        <v>45027</v>
      </c>
      <c r="F967" t="s">
        <v>25</v>
      </c>
      <c r="G967" t="s">
        <v>12</v>
      </c>
      <c r="H967" t="str">
        <f t="shared" si="45"/>
        <v>WIN</v>
      </c>
      <c r="I967" t="s">
        <v>25</v>
      </c>
      <c r="J967" t="s">
        <v>93</v>
      </c>
      <c r="K967" t="s">
        <v>309</v>
      </c>
    </row>
    <row r="968" spans="1:11" x14ac:dyDescent="0.3">
      <c r="A968" t="s">
        <v>22</v>
      </c>
      <c r="B968" t="s">
        <v>17</v>
      </c>
      <c r="C968" t="str">
        <f t="shared" si="46"/>
        <v>IPL-2023</v>
      </c>
      <c r="D968">
        <f t="shared" si="47"/>
        <v>2023</v>
      </c>
      <c r="E968" s="1">
        <v>45028</v>
      </c>
      <c r="F968" t="s">
        <v>17</v>
      </c>
      <c r="G968" t="s">
        <v>12</v>
      </c>
      <c r="H968" t="str">
        <f t="shared" si="45"/>
        <v>LOSS</v>
      </c>
      <c r="I968" t="s">
        <v>22</v>
      </c>
      <c r="J968" t="s">
        <v>133</v>
      </c>
      <c r="K968" t="s">
        <v>302</v>
      </c>
    </row>
    <row r="969" spans="1:11" x14ac:dyDescent="0.3">
      <c r="A969" t="s">
        <v>304</v>
      </c>
      <c r="B969" t="s">
        <v>320</v>
      </c>
      <c r="C969" t="str">
        <f t="shared" si="46"/>
        <v>IPL-2023</v>
      </c>
      <c r="D969">
        <f t="shared" si="47"/>
        <v>2023</v>
      </c>
      <c r="E969" s="1">
        <v>45029</v>
      </c>
      <c r="F969" t="s">
        <v>320</v>
      </c>
      <c r="G969" t="s">
        <v>12</v>
      </c>
      <c r="H969" t="str">
        <f t="shared" si="45"/>
        <v>WIN</v>
      </c>
      <c r="I969" t="s">
        <v>320</v>
      </c>
      <c r="J969" t="s">
        <v>210</v>
      </c>
      <c r="K969" t="s">
        <v>343</v>
      </c>
    </row>
    <row r="970" spans="1:11" x14ac:dyDescent="0.3">
      <c r="A970" t="s">
        <v>187</v>
      </c>
      <c r="B970" t="s">
        <v>11</v>
      </c>
      <c r="C970" t="str">
        <f t="shared" si="46"/>
        <v>IPL-2023</v>
      </c>
      <c r="D970">
        <f t="shared" si="47"/>
        <v>2023</v>
      </c>
      <c r="E970" s="1">
        <v>45030</v>
      </c>
      <c r="F970" t="s">
        <v>11</v>
      </c>
      <c r="G970" t="s">
        <v>12</v>
      </c>
      <c r="H970" t="str">
        <f t="shared" si="45"/>
        <v>LOSS</v>
      </c>
      <c r="I970" t="s">
        <v>187</v>
      </c>
      <c r="J970" t="s">
        <v>352</v>
      </c>
      <c r="K970" t="s">
        <v>340</v>
      </c>
    </row>
    <row r="971" spans="1:11" x14ac:dyDescent="0.3">
      <c r="A971" t="s">
        <v>10</v>
      </c>
      <c r="B971" t="s">
        <v>281</v>
      </c>
      <c r="C971" t="str">
        <f t="shared" si="46"/>
        <v>IPL-2023</v>
      </c>
      <c r="D971">
        <f t="shared" si="47"/>
        <v>2023</v>
      </c>
      <c r="E971" s="1">
        <v>45031</v>
      </c>
      <c r="F971" t="s">
        <v>281</v>
      </c>
      <c r="G971" t="s">
        <v>12</v>
      </c>
      <c r="H971" t="str">
        <f t="shared" si="45"/>
        <v>LOSS</v>
      </c>
      <c r="I971" t="s">
        <v>10</v>
      </c>
      <c r="J971" t="s">
        <v>151</v>
      </c>
      <c r="K971" t="s">
        <v>347</v>
      </c>
    </row>
    <row r="972" spans="1:11" x14ac:dyDescent="0.3">
      <c r="A972" t="s">
        <v>319</v>
      </c>
      <c r="B972" t="s">
        <v>304</v>
      </c>
      <c r="C972" t="str">
        <f t="shared" si="46"/>
        <v>IPL-2023</v>
      </c>
      <c r="D972">
        <f t="shared" si="47"/>
        <v>2023</v>
      </c>
      <c r="E972" s="1">
        <v>45031</v>
      </c>
      <c r="F972" t="s">
        <v>304</v>
      </c>
      <c r="G972" t="s">
        <v>12</v>
      </c>
      <c r="H972" t="str">
        <f t="shared" si="45"/>
        <v>WIN</v>
      </c>
      <c r="I972" t="s">
        <v>304</v>
      </c>
      <c r="J972" t="s">
        <v>353</v>
      </c>
      <c r="K972" t="s">
        <v>345</v>
      </c>
    </row>
    <row r="973" spans="1:11" x14ac:dyDescent="0.3">
      <c r="A973" t="s">
        <v>11</v>
      </c>
      <c r="B973" t="s">
        <v>25</v>
      </c>
      <c r="C973" t="str">
        <f t="shared" si="46"/>
        <v>IPL-2023</v>
      </c>
      <c r="D973">
        <f t="shared" si="47"/>
        <v>2023</v>
      </c>
      <c r="E973" s="1">
        <v>45032</v>
      </c>
      <c r="F973" t="s">
        <v>25</v>
      </c>
      <c r="G973" t="s">
        <v>12</v>
      </c>
      <c r="H973" t="str">
        <f t="shared" si="45"/>
        <v>WIN</v>
      </c>
      <c r="I973" t="s">
        <v>25</v>
      </c>
      <c r="J973" t="s">
        <v>316</v>
      </c>
      <c r="K973" t="s">
        <v>303</v>
      </c>
    </row>
    <row r="974" spans="1:11" x14ac:dyDescent="0.3">
      <c r="A974" t="s">
        <v>320</v>
      </c>
      <c r="B974" t="s">
        <v>22</v>
      </c>
      <c r="C974" t="str">
        <f t="shared" si="46"/>
        <v>IPL-2023</v>
      </c>
      <c r="D974">
        <f t="shared" si="47"/>
        <v>2023</v>
      </c>
      <c r="E974" s="1">
        <v>45032</v>
      </c>
      <c r="F974" t="s">
        <v>22</v>
      </c>
      <c r="G974" t="s">
        <v>12</v>
      </c>
      <c r="H974" t="str">
        <f t="shared" si="45"/>
        <v>WIN</v>
      </c>
      <c r="I974" t="s">
        <v>22</v>
      </c>
      <c r="J974" t="s">
        <v>293</v>
      </c>
      <c r="K974" t="s">
        <v>308</v>
      </c>
    </row>
    <row r="975" spans="1:11" x14ac:dyDescent="0.3">
      <c r="A975" t="s">
        <v>17</v>
      </c>
      <c r="B975" t="s">
        <v>10</v>
      </c>
      <c r="C975" t="str">
        <f t="shared" si="46"/>
        <v>IPL-2023</v>
      </c>
      <c r="D975">
        <f t="shared" si="47"/>
        <v>2023</v>
      </c>
      <c r="E975" s="1">
        <v>45033</v>
      </c>
      <c r="F975" t="s">
        <v>10</v>
      </c>
      <c r="G975" t="s">
        <v>12</v>
      </c>
      <c r="H975" t="str">
        <f t="shared" si="45"/>
        <v>LOSS</v>
      </c>
      <c r="I975" t="s">
        <v>17</v>
      </c>
      <c r="J975" t="s">
        <v>337</v>
      </c>
      <c r="K975" t="s">
        <v>347</v>
      </c>
    </row>
    <row r="976" spans="1:11" x14ac:dyDescent="0.3">
      <c r="A976" t="s">
        <v>25</v>
      </c>
      <c r="B976" t="s">
        <v>187</v>
      </c>
      <c r="C976" t="str">
        <f t="shared" si="46"/>
        <v>IPL-2023</v>
      </c>
      <c r="D976">
        <f t="shared" si="47"/>
        <v>2023</v>
      </c>
      <c r="E976" s="1">
        <v>45034</v>
      </c>
      <c r="F976" t="s">
        <v>187</v>
      </c>
      <c r="G976" t="s">
        <v>12</v>
      </c>
      <c r="H976" t="str">
        <f t="shared" si="45"/>
        <v>LOSS</v>
      </c>
      <c r="I976" t="s">
        <v>25</v>
      </c>
      <c r="J976" t="s">
        <v>354</v>
      </c>
      <c r="K976" t="s">
        <v>346</v>
      </c>
    </row>
    <row r="977" spans="1:11" x14ac:dyDescent="0.3">
      <c r="A977" t="s">
        <v>319</v>
      </c>
      <c r="B977" t="s">
        <v>22</v>
      </c>
      <c r="C977" t="str">
        <f t="shared" si="46"/>
        <v>IPL-2023</v>
      </c>
      <c r="D977">
        <f t="shared" si="47"/>
        <v>2023</v>
      </c>
      <c r="E977" s="1">
        <v>45035</v>
      </c>
      <c r="F977" t="s">
        <v>22</v>
      </c>
      <c r="G977" t="s">
        <v>12</v>
      </c>
      <c r="H977" t="str">
        <f t="shared" si="45"/>
        <v>LOSS</v>
      </c>
      <c r="I977" t="s">
        <v>319</v>
      </c>
      <c r="J977" t="s">
        <v>243</v>
      </c>
      <c r="K977" t="s">
        <v>355</v>
      </c>
    </row>
    <row r="978" spans="1:11" x14ac:dyDescent="0.3">
      <c r="A978" t="s">
        <v>10</v>
      </c>
      <c r="B978" t="s">
        <v>304</v>
      </c>
      <c r="C978" t="str">
        <f t="shared" si="46"/>
        <v>IPL-2023</v>
      </c>
      <c r="D978">
        <f t="shared" si="47"/>
        <v>2023</v>
      </c>
      <c r="E978" s="1">
        <v>45036</v>
      </c>
      <c r="F978" t="s">
        <v>304</v>
      </c>
      <c r="G978" t="s">
        <v>12</v>
      </c>
      <c r="H978" t="str">
        <f t="shared" si="45"/>
        <v>LOSS</v>
      </c>
      <c r="I978" t="s">
        <v>10</v>
      </c>
      <c r="J978" t="s">
        <v>261</v>
      </c>
      <c r="K978" t="s">
        <v>343</v>
      </c>
    </row>
    <row r="979" spans="1:11" x14ac:dyDescent="0.3">
      <c r="A979" t="s">
        <v>11</v>
      </c>
      <c r="B979" t="s">
        <v>281</v>
      </c>
      <c r="C979" t="str">
        <f t="shared" si="46"/>
        <v>IPL-2023</v>
      </c>
      <c r="D979">
        <f t="shared" si="47"/>
        <v>2023</v>
      </c>
      <c r="E979" s="1">
        <v>45036</v>
      </c>
      <c r="F979" t="s">
        <v>281</v>
      </c>
      <c r="G979" t="s">
        <v>12</v>
      </c>
      <c r="H979" t="str">
        <f t="shared" si="45"/>
        <v>WIN</v>
      </c>
      <c r="I979" t="s">
        <v>281</v>
      </c>
      <c r="J979" t="s">
        <v>152</v>
      </c>
      <c r="K979" t="s">
        <v>309</v>
      </c>
    </row>
    <row r="980" spans="1:11" x14ac:dyDescent="0.3">
      <c r="A980" t="s">
        <v>187</v>
      </c>
      <c r="B980" t="s">
        <v>17</v>
      </c>
      <c r="C980" t="str">
        <f t="shared" si="46"/>
        <v>IPL-2023</v>
      </c>
      <c r="D980">
        <f t="shared" si="47"/>
        <v>2023</v>
      </c>
      <c r="E980" s="1">
        <v>45037</v>
      </c>
      <c r="F980" t="s">
        <v>17</v>
      </c>
      <c r="G980" t="s">
        <v>12</v>
      </c>
      <c r="H980" t="str">
        <f t="shared" si="45"/>
        <v>WIN</v>
      </c>
      <c r="I980" t="s">
        <v>17</v>
      </c>
      <c r="J980" t="s">
        <v>167</v>
      </c>
      <c r="K980" t="s">
        <v>302</v>
      </c>
    </row>
    <row r="981" spans="1:11" x14ac:dyDescent="0.3">
      <c r="A981" t="s">
        <v>304</v>
      </c>
      <c r="B981" t="s">
        <v>25</v>
      </c>
      <c r="C981" t="str">
        <f t="shared" si="46"/>
        <v>IPL-2023</v>
      </c>
      <c r="D981">
        <f t="shared" si="47"/>
        <v>2023</v>
      </c>
      <c r="E981" s="1">
        <v>45038</v>
      </c>
      <c r="F981" t="s">
        <v>25</v>
      </c>
      <c r="G981" t="s">
        <v>12</v>
      </c>
      <c r="H981" t="str">
        <f t="shared" si="45"/>
        <v>LOSS</v>
      </c>
      <c r="I981" t="s">
        <v>304</v>
      </c>
      <c r="J981" t="s">
        <v>284</v>
      </c>
      <c r="K981" t="s">
        <v>303</v>
      </c>
    </row>
    <row r="982" spans="1:11" x14ac:dyDescent="0.3">
      <c r="A982" t="s">
        <v>320</v>
      </c>
      <c r="B982" t="s">
        <v>319</v>
      </c>
      <c r="C982" t="str">
        <f t="shared" si="46"/>
        <v>IPL-2023</v>
      </c>
      <c r="D982">
        <f t="shared" si="47"/>
        <v>2023</v>
      </c>
      <c r="E982" s="1">
        <v>45038</v>
      </c>
      <c r="F982" t="s">
        <v>320</v>
      </c>
      <c r="G982" t="s">
        <v>18</v>
      </c>
      <c r="H982" t="str">
        <f t="shared" si="45"/>
        <v>WIN</v>
      </c>
      <c r="I982" t="s">
        <v>320</v>
      </c>
      <c r="J982" t="s">
        <v>210</v>
      </c>
      <c r="K982" t="s">
        <v>345</v>
      </c>
    </row>
    <row r="983" spans="1:11" x14ac:dyDescent="0.3">
      <c r="A983" t="s">
        <v>10</v>
      </c>
      <c r="B983" t="s">
        <v>22</v>
      </c>
      <c r="C983" t="str">
        <f t="shared" si="46"/>
        <v>IPL-2023</v>
      </c>
      <c r="D983">
        <f t="shared" si="47"/>
        <v>2023</v>
      </c>
      <c r="E983" s="1">
        <v>45039</v>
      </c>
      <c r="F983" t="s">
        <v>22</v>
      </c>
      <c r="G983" t="s">
        <v>12</v>
      </c>
      <c r="H983" t="str">
        <f t="shared" si="45"/>
        <v>LOSS</v>
      </c>
      <c r="I983" t="s">
        <v>10</v>
      </c>
      <c r="J983" t="s">
        <v>207</v>
      </c>
      <c r="K983" t="s">
        <v>347</v>
      </c>
    </row>
    <row r="984" spans="1:11" x14ac:dyDescent="0.3">
      <c r="A984" t="s">
        <v>17</v>
      </c>
      <c r="B984" t="s">
        <v>11</v>
      </c>
      <c r="C984" t="str">
        <f t="shared" si="46"/>
        <v>IPL-2023</v>
      </c>
      <c r="D984">
        <f t="shared" si="47"/>
        <v>2023</v>
      </c>
      <c r="E984" s="1">
        <v>45039</v>
      </c>
      <c r="F984" t="s">
        <v>11</v>
      </c>
      <c r="G984" t="s">
        <v>12</v>
      </c>
      <c r="H984" t="str">
        <f t="shared" si="45"/>
        <v>LOSS</v>
      </c>
      <c r="I984" t="s">
        <v>17</v>
      </c>
      <c r="J984" t="s">
        <v>166</v>
      </c>
      <c r="K984" t="s">
        <v>340</v>
      </c>
    </row>
    <row r="985" spans="1:11" x14ac:dyDescent="0.3">
      <c r="A985" t="s">
        <v>281</v>
      </c>
      <c r="B985" t="s">
        <v>187</v>
      </c>
      <c r="C985" t="str">
        <f t="shared" si="46"/>
        <v>IPL-2023</v>
      </c>
      <c r="D985">
        <f t="shared" si="47"/>
        <v>2023</v>
      </c>
      <c r="E985" s="1">
        <v>45040</v>
      </c>
      <c r="F985" t="s">
        <v>281</v>
      </c>
      <c r="G985" t="s">
        <v>18</v>
      </c>
      <c r="H985" t="str">
        <f t="shared" si="45"/>
        <v>WIN</v>
      </c>
      <c r="I985" t="s">
        <v>281</v>
      </c>
      <c r="J985" t="s">
        <v>216</v>
      </c>
      <c r="K985" t="s">
        <v>346</v>
      </c>
    </row>
    <row r="986" spans="1:11" x14ac:dyDescent="0.3">
      <c r="A986" t="s">
        <v>320</v>
      </c>
      <c r="B986" t="s">
        <v>25</v>
      </c>
      <c r="C986" t="str">
        <f t="shared" si="46"/>
        <v>IPL-2023</v>
      </c>
      <c r="D986">
        <f t="shared" si="47"/>
        <v>2023</v>
      </c>
      <c r="E986" s="1">
        <v>45041</v>
      </c>
      <c r="F986" t="s">
        <v>25</v>
      </c>
      <c r="G986" t="s">
        <v>12</v>
      </c>
      <c r="H986" t="str">
        <f t="shared" si="45"/>
        <v>LOSS</v>
      </c>
      <c r="I986" t="s">
        <v>320</v>
      </c>
      <c r="J986" t="s">
        <v>356</v>
      </c>
      <c r="K986" t="s">
        <v>308</v>
      </c>
    </row>
    <row r="987" spans="1:11" x14ac:dyDescent="0.3">
      <c r="A987" t="s">
        <v>11</v>
      </c>
      <c r="B987" t="s">
        <v>10</v>
      </c>
      <c r="C987" t="str">
        <f t="shared" si="46"/>
        <v>IPL-2023</v>
      </c>
      <c r="D987">
        <f t="shared" si="47"/>
        <v>2023</v>
      </c>
      <c r="E987" s="1">
        <v>45042</v>
      </c>
      <c r="F987" t="s">
        <v>10</v>
      </c>
      <c r="G987" t="s">
        <v>12</v>
      </c>
      <c r="H987" t="str">
        <f t="shared" si="45"/>
        <v>LOSS</v>
      </c>
      <c r="I987" t="s">
        <v>11</v>
      </c>
      <c r="J987" t="s">
        <v>298</v>
      </c>
      <c r="K987" t="s">
        <v>347</v>
      </c>
    </row>
    <row r="988" spans="1:11" x14ac:dyDescent="0.3">
      <c r="A988" t="s">
        <v>22</v>
      </c>
      <c r="B988" t="s">
        <v>17</v>
      </c>
      <c r="C988" t="str">
        <f t="shared" si="46"/>
        <v>IPL-2023</v>
      </c>
      <c r="D988">
        <f t="shared" si="47"/>
        <v>2023</v>
      </c>
      <c r="E988" s="1">
        <v>45043</v>
      </c>
      <c r="F988" t="s">
        <v>22</v>
      </c>
      <c r="G988" t="s">
        <v>18</v>
      </c>
      <c r="H988" t="str">
        <f t="shared" si="45"/>
        <v>WIN</v>
      </c>
      <c r="I988" t="s">
        <v>22</v>
      </c>
      <c r="J988" t="s">
        <v>336</v>
      </c>
      <c r="K988" t="s">
        <v>355</v>
      </c>
    </row>
    <row r="989" spans="1:11" x14ac:dyDescent="0.3">
      <c r="A989" t="s">
        <v>319</v>
      </c>
      <c r="B989" t="s">
        <v>304</v>
      </c>
      <c r="C989" t="str">
        <f t="shared" si="46"/>
        <v>IPL-2023</v>
      </c>
      <c r="D989">
        <f t="shared" si="47"/>
        <v>2023</v>
      </c>
      <c r="E989" s="1">
        <v>45044</v>
      </c>
      <c r="F989" t="s">
        <v>304</v>
      </c>
      <c r="G989" t="s">
        <v>12</v>
      </c>
      <c r="H989" t="str">
        <f t="shared" si="45"/>
        <v>LOSS</v>
      </c>
      <c r="I989" t="s">
        <v>319</v>
      </c>
      <c r="J989" t="s">
        <v>243</v>
      </c>
      <c r="K989" t="s">
        <v>343</v>
      </c>
    </row>
    <row r="990" spans="1:11" x14ac:dyDescent="0.3">
      <c r="A990" t="s">
        <v>187</v>
      </c>
      <c r="B990" t="s">
        <v>281</v>
      </c>
      <c r="C990" t="str">
        <f t="shared" si="46"/>
        <v>IPL-2023</v>
      </c>
      <c r="D990">
        <f t="shared" si="47"/>
        <v>2023</v>
      </c>
      <c r="E990" s="1">
        <v>45045</v>
      </c>
      <c r="F990" t="s">
        <v>187</v>
      </c>
      <c r="G990" t="s">
        <v>18</v>
      </c>
      <c r="H990" t="str">
        <f t="shared" si="45"/>
        <v>WIN</v>
      </c>
      <c r="I990" t="s">
        <v>187</v>
      </c>
      <c r="J990" t="s">
        <v>158</v>
      </c>
      <c r="K990" t="s">
        <v>309</v>
      </c>
    </row>
    <row r="991" spans="1:11" x14ac:dyDescent="0.3">
      <c r="A991" t="s">
        <v>11</v>
      </c>
      <c r="B991" t="s">
        <v>320</v>
      </c>
      <c r="C991" t="str">
        <f t="shared" si="46"/>
        <v>IPL-2023</v>
      </c>
      <c r="D991">
        <f t="shared" si="47"/>
        <v>2023</v>
      </c>
      <c r="E991" s="1">
        <v>45045</v>
      </c>
      <c r="F991" t="s">
        <v>320</v>
      </c>
      <c r="G991" t="s">
        <v>12</v>
      </c>
      <c r="H991" t="str">
        <f t="shared" si="45"/>
        <v>WIN</v>
      </c>
      <c r="I991" t="s">
        <v>320</v>
      </c>
      <c r="J991" t="s">
        <v>357</v>
      </c>
      <c r="K991" t="s">
        <v>340</v>
      </c>
    </row>
    <row r="992" spans="1:11" x14ac:dyDescent="0.3">
      <c r="A992" t="s">
        <v>22</v>
      </c>
      <c r="B992" t="s">
        <v>25</v>
      </c>
      <c r="C992" t="str">
        <f t="shared" si="46"/>
        <v>IPL-2023</v>
      </c>
      <c r="D992">
        <f t="shared" si="47"/>
        <v>2023</v>
      </c>
      <c r="E992" s="1">
        <v>45046</v>
      </c>
      <c r="F992" t="s">
        <v>22</v>
      </c>
      <c r="G992" t="s">
        <v>18</v>
      </c>
      <c r="H992" t="str">
        <f t="shared" si="45"/>
        <v>LOSS</v>
      </c>
      <c r="I992" t="s">
        <v>25</v>
      </c>
      <c r="J992" t="s">
        <v>336</v>
      </c>
      <c r="K992" t="s">
        <v>303</v>
      </c>
    </row>
    <row r="993" spans="1:11" x14ac:dyDescent="0.3">
      <c r="A993" t="s">
        <v>17</v>
      </c>
      <c r="B993" t="s">
        <v>304</v>
      </c>
      <c r="C993" t="str">
        <f t="shared" si="46"/>
        <v>IPL-2023</v>
      </c>
      <c r="D993">
        <f t="shared" si="47"/>
        <v>2023</v>
      </c>
      <c r="E993" s="1">
        <v>45046</v>
      </c>
      <c r="F993" t="s">
        <v>17</v>
      </c>
      <c r="G993" t="s">
        <v>18</v>
      </c>
      <c r="H993" t="str">
        <f t="shared" si="45"/>
        <v>LOSS</v>
      </c>
      <c r="I993" t="s">
        <v>304</v>
      </c>
      <c r="J993" t="s">
        <v>337</v>
      </c>
      <c r="K993" t="s">
        <v>302</v>
      </c>
    </row>
    <row r="994" spans="1:11" x14ac:dyDescent="0.3">
      <c r="A994" t="s">
        <v>10</v>
      </c>
      <c r="B994" t="s">
        <v>319</v>
      </c>
      <c r="C994" t="str">
        <f t="shared" si="46"/>
        <v>IPL-2023</v>
      </c>
      <c r="D994">
        <f t="shared" si="47"/>
        <v>2023</v>
      </c>
      <c r="E994" s="1">
        <v>45047</v>
      </c>
      <c r="F994" t="s">
        <v>10</v>
      </c>
      <c r="G994" t="s">
        <v>18</v>
      </c>
      <c r="H994" t="str">
        <f t="shared" si="45"/>
        <v>WIN</v>
      </c>
      <c r="I994" t="s">
        <v>10</v>
      </c>
      <c r="J994" t="s">
        <v>172</v>
      </c>
      <c r="K994" t="s">
        <v>345</v>
      </c>
    </row>
    <row r="995" spans="1:11" x14ac:dyDescent="0.3">
      <c r="A995" t="s">
        <v>281</v>
      </c>
      <c r="B995" t="s">
        <v>320</v>
      </c>
      <c r="C995" t="str">
        <f t="shared" si="46"/>
        <v>IPL-2023</v>
      </c>
      <c r="D995">
        <f t="shared" si="47"/>
        <v>2023</v>
      </c>
      <c r="E995" s="1">
        <v>45048</v>
      </c>
      <c r="F995" t="s">
        <v>281</v>
      </c>
      <c r="G995" t="s">
        <v>18</v>
      </c>
      <c r="H995" t="str">
        <f t="shared" si="45"/>
        <v>WIN</v>
      </c>
      <c r="I995" t="s">
        <v>281</v>
      </c>
      <c r="J995" t="s">
        <v>259</v>
      </c>
      <c r="K995" t="s">
        <v>308</v>
      </c>
    </row>
    <row r="996" spans="1:11" x14ac:dyDescent="0.3">
      <c r="A996" t="s">
        <v>319</v>
      </c>
      <c r="B996" t="s">
        <v>17</v>
      </c>
      <c r="C996" t="str">
        <f t="shared" si="46"/>
        <v>IPL-2023</v>
      </c>
      <c r="D996">
        <f t="shared" si="47"/>
        <v>2023</v>
      </c>
      <c r="E996" s="1">
        <v>45049</v>
      </c>
      <c r="F996" t="s">
        <v>17</v>
      </c>
      <c r="G996" t="s">
        <v>12</v>
      </c>
      <c r="H996" t="str">
        <f t="shared" si="45"/>
        <v>LOSS</v>
      </c>
      <c r="J996" t="s">
        <v>15</v>
      </c>
      <c r="K996" t="s">
        <v>345</v>
      </c>
    </row>
    <row r="997" spans="1:11" x14ac:dyDescent="0.3">
      <c r="A997" t="s">
        <v>304</v>
      </c>
      <c r="B997" t="s">
        <v>25</v>
      </c>
      <c r="C997" t="str">
        <f t="shared" si="46"/>
        <v>IPL-2023</v>
      </c>
      <c r="D997">
        <f t="shared" si="47"/>
        <v>2023</v>
      </c>
      <c r="E997" s="1">
        <v>45049</v>
      </c>
      <c r="F997" t="s">
        <v>25</v>
      </c>
      <c r="G997" t="s">
        <v>12</v>
      </c>
      <c r="H997" t="str">
        <f t="shared" si="45"/>
        <v>WIN</v>
      </c>
      <c r="I997" t="s">
        <v>25</v>
      </c>
      <c r="J997" t="s">
        <v>277</v>
      </c>
      <c r="K997" t="s">
        <v>343</v>
      </c>
    </row>
    <row r="998" spans="1:11" x14ac:dyDescent="0.3">
      <c r="A998" t="s">
        <v>11</v>
      </c>
      <c r="B998" t="s">
        <v>187</v>
      </c>
      <c r="C998" t="str">
        <f t="shared" si="46"/>
        <v>IPL-2023</v>
      </c>
      <c r="D998">
        <f t="shared" si="47"/>
        <v>2023</v>
      </c>
      <c r="E998" s="1">
        <v>45050</v>
      </c>
      <c r="F998" t="s">
        <v>11</v>
      </c>
      <c r="G998" t="s">
        <v>18</v>
      </c>
      <c r="H998" t="str">
        <f t="shared" si="45"/>
        <v>WIN</v>
      </c>
      <c r="I998" t="s">
        <v>11</v>
      </c>
      <c r="J998" t="s">
        <v>298</v>
      </c>
      <c r="K998" t="s">
        <v>346</v>
      </c>
    </row>
    <row r="999" spans="1:11" x14ac:dyDescent="0.3">
      <c r="A999" t="s">
        <v>22</v>
      </c>
      <c r="B999" t="s">
        <v>320</v>
      </c>
      <c r="C999" t="str">
        <f t="shared" si="46"/>
        <v>IPL-2023</v>
      </c>
      <c r="D999">
        <f t="shared" si="47"/>
        <v>2023</v>
      </c>
      <c r="E999" s="1">
        <v>45051</v>
      </c>
      <c r="F999" t="s">
        <v>22</v>
      </c>
      <c r="G999" t="s">
        <v>18</v>
      </c>
      <c r="H999" t="str">
        <f t="shared" si="45"/>
        <v>LOSS</v>
      </c>
      <c r="I999" t="s">
        <v>320</v>
      </c>
      <c r="J999" t="s">
        <v>251</v>
      </c>
      <c r="K999" t="s">
        <v>355</v>
      </c>
    </row>
    <row r="1000" spans="1:11" x14ac:dyDescent="0.3">
      <c r="A1000" t="s">
        <v>10</v>
      </c>
      <c r="B1000" t="s">
        <v>281</v>
      </c>
      <c r="C1000" t="str">
        <f t="shared" si="46"/>
        <v>IPL-2023</v>
      </c>
      <c r="D1000">
        <f t="shared" si="47"/>
        <v>2023</v>
      </c>
      <c r="E1000" s="1">
        <v>45052</v>
      </c>
      <c r="F1000" t="s">
        <v>10</v>
      </c>
      <c r="G1000" t="s">
        <v>18</v>
      </c>
      <c r="H1000" t="str">
        <f t="shared" si="45"/>
        <v>LOSS</v>
      </c>
      <c r="I1000" t="s">
        <v>281</v>
      </c>
      <c r="J1000" t="s">
        <v>358</v>
      </c>
      <c r="K1000" t="s">
        <v>309</v>
      </c>
    </row>
    <row r="1001" spans="1:11" x14ac:dyDescent="0.3">
      <c r="A1001" t="s">
        <v>25</v>
      </c>
      <c r="B1001" t="s">
        <v>17</v>
      </c>
      <c r="C1001" t="str">
        <f t="shared" si="46"/>
        <v>IPL-2023</v>
      </c>
      <c r="D1001">
        <f t="shared" si="47"/>
        <v>2023</v>
      </c>
      <c r="E1001" s="1">
        <v>45052</v>
      </c>
      <c r="F1001" t="s">
        <v>17</v>
      </c>
      <c r="G1001" t="s">
        <v>12</v>
      </c>
      <c r="H1001" t="str">
        <f t="shared" si="45"/>
        <v>WIN</v>
      </c>
      <c r="I1001" t="s">
        <v>17</v>
      </c>
      <c r="J1001" t="s">
        <v>359</v>
      </c>
      <c r="K1001" t="s">
        <v>302</v>
      </c>
    </row>
    <row r="1002" spans="1:11" x14ac:dyDescent="0.3">
      <c r="A1002" t="s">
        <v>320</v>
      </c>
      <c r="B1002" t="s">
        <v>319</v>
      </c>
      <c r="C1002" t="str">
        <f t="shared" si="46"/>
        <v>IPL-2023</v>
      </c>
      <c r="D1002">
        <f t="shared" si="47"/>
        <v>2023</v>
      </c>
      <c r="E1002" s="1">
        <v>45053</v>
      </c>
      <c r="F1002" t="s">
        <v>319</v>
      </c>
      <c r="G1002" t="s">
        <v>12</v>
      </c>
      <c r="H1002" t="str">
        <f t="shared" si="45"/>
        <v>LOSS</v>
      </c>
      <c r="I1002" t="s">
        <v>320</v>
      </c>
      <c r="J1002" t="s">
        <v>292</v>
      </c>
      <c r="K1002" t="s">
        <v>308</v>
      </c>
    </row>
    <row r="1003" spans="1:11" x14ac:dyDescent="0.3">
      <c r="A1003" t="s">
        <v>22</v>
      </c>
      <c r="B1003" t="s">
        <v>187</v>
      </c>
      <c r="C1003" t="str">
        <f t="shared" si="46"/>
        <v>IPL-2023</v>
      </c>
      <c r="D1003">
        <f t="shared" si="47"/>
        <v>2023</v>
      </c>
      <c r="E1003" s="1">
        <v>45053</v>
      </c>
      <c r="F1003" t="s">
        <v>22</v>
      </c>
      <c r="G1003" t="s">
        <v>18</v>
      </c>
      <c r="H1003" t="str">
        <f t="shared" si="45"/>
        <v>LOSS</v>
      </c>
      <c r="I1003" t="s">
        <v>187</v>
      </c>
      <c r="J1003" t="s">
        <v>360</v>
      </c>
      <c r="K1003" t="s">
        <v>355</v>
      </c>
    </row>
    <row r="1004" spans="1:11" x14ac:dyDescent="0.3">
      <c r="A1004" t="s">
        <v>304</v>
      </c>
      <c r="B1004" t="s">
        <v>11</v>
      </c>
      <c r="C1004" t="str">
        <f t="shared" si="46"/>
        <v>IPL-2023</v>
      </c>
      <c r="D1004">
        <f t="shared" si="47"/>
        <v>2023</v>
      </c>
      <c r="E1004" s="1">
        <v>45054</v>
      </c>
      <c r="F1004" t="s">
        <v>304</v>
      </c>
      <c r="G1004" t="s">
        <v>18</v>
      </c>
      <c r="H1004" t="str">
        <f t="shared" si="45"/>
        <v>LOSS</v>
      </c>
      <c r="I1004" t="s">
        <v>11</v>
      </c>
      <c r="J1004" t="s">
        <v>221</v>
      </c>
      <c r="K1004" t="s">
        <v>340</v>
      </c>
    </row>
    <row r="1005" spans="1:11" x14ac:dyDescent="0.3">
      <c r="A1005" t="s">
        <v>10</v>
      </c>
      <c r="B1005" t="s">
        <v>25</v>
      </c>
      <c r="C1005" t="str">
        <f t="shared" si="46"/>
        <v>IPL-2023</v>
      </c>
      <c r="D1005">
        <f t="shared" si="47"/>
        <v>2023</v>
      </c>
      <c r="E1005" s="1">
        <v>45055</v>
      </c>
      <c r="F1005" t="s">
        <v>25</v>
      </c>
      <c r="G1005" t="s">
        <v>12</v>
      </c>
      <c r="H1005" t="str">
        <f t="shared" si="45"/>
        <v>WIN</v>
      </c>
      <c r="I1005" t="s">
        <v>25</v>
      </c>
      <c r="J1005" t="s">
        <v>238</v>
      </c>
      <c r="K1005" t="s">
        <v>303</v>
      </c>
    </row>
    <row r="1006" spans="1:11" x14ac:dyDescent="0.3">
      <c r="A1006" t="s">
        <v>17</v>
      </c>
      <c r="B1006" t="s">
        <v>281</v>
      </c>
      <c r="C1006" t="str">
        <f t="shared" si="46"/>
        <v>IPL-2023</v>
      </c>
      <c r="D1006">
        <f t="shared" si="47"/>
        <v>2023</v>
      </c>
      <c r="E1006" s="1">
        <v>45056</v>
      </c>
      <c r="F1006" t="s">
        <v>17</v>
      </c>
      <c r="G1006" t="s">
        <v>18</v>
      </c>
      <c r="H1006" t="str">
        <f t="shared" si="45"/>
        <v>WIN</v>
      </c>
      <c r="I1006" t="s">
        <v>17</v>
      </c>
      <c r="J1006" t="s">
        <v>167</v>
      </c>
      <c r="K1006" t="s">
        <v>302</v>
      </c>
    </row>
    <row r="1007" spans="1:11" x14ac:dyDescent="0.3">
      <c r="A1007" t="s">
        <v>11</v>
      </c>
      <c r="B1007" t="s">
        <v>22</v>
      </c>
      <c r="C1007" t="str">
        <f t="shared" si="46"/>
        <v>IPL-2023</v>
      </c>
      <c r="D1007">
        <f t="shared" si="47"/>
        <v>2023</v>
      </c>
      <c r="E1007" s="1">
        <v>45057</v>
      </c>
      <c r="F1007" t="s">
        <v>22</v>
      </c>
      <c r="G1007" t="s">
        <v>12</v>
      </c>
      <c r="H1007" t="str">
        <f t="shared" si="45"/>
        <v>WIN</v>
      </c>
      <c r="I1007" t="s">
        <v>22</v>
      </c>
      <c r="J1007" t="s">
        <v>336</v>
      </c>
      <c r="K1007" t="s">
        <v>340</v>
      </c>
    </row>
    <row r="1008" spans="1:11" x14ac:dyDescent="0.3">
      <c r="A1008" t="s">
        <v>25</v>
      </c>
      <c r="B1008" t="s">
        <v>320</v>
      </c>
      <c r="C1008" t="str">
        <f t="shared" si="46"/>
        <v>IPL-2023</v>
      </c>
      <c r="D1008">
        <f t="shared" si="47"/>
        <v>2023</v>
      </c>
      <c r="E1008" s="1">
        <v>45058</v>
      </c>
      <c r="F1008" t="s">
        <v>320</v>
      </c>
      <c r="G1008" t="s">
        <v>12</v>
      </c>
      <c r="H1008" t="str">
        <f t="shared" si="45"/>
        <v>LOSS</v>
      </c>
      <c r="I1008" t="s">
        <v>25</v>
      </c>
      <c r="J1008" t="s">
        <v>238</v>
      </c>
      <c r="K1008" t="s">
        <v>303</v>
      </c>
    </row>
    <row r="1009" spans="1:11" x14ac:dyDescent="0.3">
      <c r="A1009" t="s">
        <v>304</v>
      </c>
      <c r="B1009" t="s">
        <v>281</v>
      </c>
      <c r="C1009" t="str">
        <f t="shared" si="46"/>
        <v>IPL-2023</v>
      </c>
      <c r="D1009">
        <f t="shared" si="47"/>
        <v>2023</v>
      </c>
      <c r="E1009" s="1">
        <v>45059</v>
      </c>
      <c r="F1009" t="s">
        <v>281</v>
      </c>
      <c r="G1009" t="s">
        <v>12</v>
      </c>
      <c r="H1009" t="str">
        <f t="shared" si="45"/>
        <v>LOSS</v>
      </c>
      <c r="I1009" t="s">
        <v>304</v>
      </c>
      <c r="J1009" t="s">
        <v>361</v>
      </c>
      <c r="K1009" t="s">
        <v>309</v>
      </c>
    </row>
    <row r="1010" spans="1:11" x14ac:dyDescent="0.3">
      <c r="A1010" t="s">
        <v>187</v>
      </c>
      <c r="B1010" t="s">
        <v>319</v>
      </c>
      <c r="C1010" t="str">
        <f t="shared" si="46"/>
        <v>IPL-2023</v>
      </c>
      <c r="D1010">
        <f t="shared" si="47"/>
        <v>2023</v>
      </c>
      <c r="E1010" s="1">
        <v>45059</v>
      </c>
      <c r="F1010" t="s">
        <v>187</v>
      </c>
      <c r="G1010" t="s">
        <v>18</v>
      </c>
      <c r="H1010" t="str">
        <f t="shared" si="45"/>
        <v>LOSS</v>
      </c>
      <c r="I1010" t="s">
        <v>319</v>
      </c>
      <c r="J1010" t="s">
        <v>362</v>
      </c>
      <c r="K1010" t="s">
        <v>346</v>
      </c>
    </row>
    <row r="1011" spans="1:11" x14ac:dyDescent="0.3">
      <c r="A1011" t="s">
        <v>17</v>
      </c>
      <c r="B1011" t="s">
        <v>11</v>
      </c>
      <c r="C1011" t="str">
        <f t="shared" si="46"/>
        <v>IPL-2023</v>
      </c>
      <c r="D1011">
        <f t="shared" si="47"/>
        <v>2023</v>
      </c>
      <c r="E1011" s="1">
        <v>45060</v>
      </c>
      <c r="F1011" t="s">
        <v>17</v>
      </c>
      <c r="G1011" t="s">
        <v>18</v>
      </c>
      <c r="H1011" t="str">
        <f t="shared" si="45"/>
        <v>LOSS</v>
      </c>
      <c r="I1011" t="s">
        <v>11</v>
      </c>
      <c r="J1011" t="s">
        <v>334</v>
      </c>
      <c r="K1011" t="s">
        <v>302</v>
      </c>
    </row>
    <row r="1012" spans="1:11" x14ac:dyDescent="0.3">
      <c r="A1012" t="s">
        <v>10</v>
      </c>
      <c r="B1012" t="s">
        <v>22</v>
      </c>
      <c r="C1012" t="str">
        <f t="shared" si="46"/>
        <v>IPL-2023</v>
      </c>
      <c r="D1012">
        <f t="shared" si="47"/>
        <v>2023</v>
      </c>
      <c r="E1012" s="1">
        <v>45060</v>
      </c>
      <c r="F1012" t="s">
        <v>10</v>
      </c>
      <c r="G1012" t="s">
        <v>18</v>
      </c>
      <c r="H1012" t="str">
        <f t="shared" si="45"/>
        <v>WIN</v>
      </c>
      <c r="I1012" t="s">
        <v>10</v>
      </c>
      <c r="J1012" t="s">
        <v>363</v>
      </c>
      <c r="K1012" t="s">
        <v>355</v>
      </c>
    </row>
    <row r="1013" spans="1:11" x14ac:dyDescent="0.3">
      <c r="A1013" t="s">
        <v>320</v>
      </c>
      <c r="B1013" t="s">
        <v>187</v>
      </c>
      <c r="C1013" t="str">
        <f t="shared" si="46"/>
        <v>IPL-2023</v>
      </c>
      <c r="D1013">
        <f t="shared" si="47"/>
        <v>2023</v>
      </c>
      <c r="E1013" s="1">
        <v>45061</v>
      </c>
      <c r="F1013" t="s">
        <v>187</v>
      </c>
      <c r="G1013" t="s">
        <v>12</v>
      </c>
      <c r="H1013" t="str">
        <f t="shared" si="45"/>
        <v>LOSS</v>
      </c>
      <c r="I1013" t="s">
        <v>320</v>
      </c>
      <c r="J1013" t="s">
        <v>292</v>
      </c>
      <c r="K1013" t="s">
        <v>308</v>
      </c>
    </row>
    <row r="1014" spans="1:11" x14ac:dyDescent="0.3">
      <c r="A1014" t="s">
        <v>319</v>
      </c>
      <c r="B1014" t="s">
        <v>25</v>
      </c>
      <c r="C1014" t="str">
        <f t="shared" si="46"/>
        <v>IPL-2023</v>
      </c>
      <c r="D1014">
        <f t="shared" si="47"/>
        <v>2023</v>
      </c>
      <c r="E1014" s="1">
        <v>45062</v>
      </c>
      <c r="F1014" t="s">
        <v>25</v>
      </c>
      <c r="G1014" t="s">
        <v>12</v>
      </c>
      <c r="H1014" t="str">
        <f t="shared" si="45"/>
        <v>LOSS</v>
      </c>
      <c r="I1014" t="s">
        <v>319</v>
      </c>
      <c r="J1014" t="s">
        <v>243</v>
      </c>
      <c r="K1014" t="s">
        <v>345</v>
      </c>
    </row>
    <row r="1015" spans="1:11" x14ac:dyDescent="0.3">
      <c r="A1015" t="s">
        <v>281</v>
      </c>
      <c r="B1015" t="s">
        <v>304</v>
      </c>
      <c r="C1015" t="str">
        <f t="shared" si="46"/>
        <v>IPL-2023</v>
      </c>
      <c r="D1015">
        <f t="shared" si="47"/>
        <v>2023</v>
      </c>
      <c r="E1015" s="1">
        <v>45063</v>
      </c>
      <c r="F1015" t="s">
        <v>304</v>
      </c>
      <c r="G1015" t="s">
        <v>12</v>
      </c>
      <c r="H1015" t="str">
        <f t="shared" si="45"/>
        <v>LOSS</v>
      </c>
      <c r="I1015" t="s">
        <v>281</v>
      </c>
      <c r="J1015" t="s">
        <v>364</v>
      </c>
      <c r="K1015" t="s">
        <v>365</v>
      </c>
    </row>
    <row r="1016" spans="1:11" x14ac:dyDescent="0.3">
      <c r="A1016" t="s">
        <v>187</v>
      </c>
      <c r="B1016" t="s">
        <v>10</v>
      </c>
      <c r="C1016" t="str">
        <f t="shared" si="46"/>
        <v>IPL-2023</v>
      </c>
      <c r="D1016">
        <f t="shared" si="47"/>
        <v>2023</v>
      </c>
      <c r="E1016" s="1">
        <v>45064</v>
      </c>
      <c r="F1016" t="s">
        <v>10</v>
      </c>
      <c r="G1016" t="s">
        <v>12</v>
      </c>
      <c r="H1016" t="str">
        <f t="shared" si="45"/>
        <v>WIN</v>
      </c>
      <c r="I1016" t="s">
        <v>10</v>
      </c>
      <c r="J1016" t="s">
        <v>151</v>
      </c>
      <c r="K1016" t="s">
        <v>346</v>
      </c>
    </row>
    <row r="1017" spans="1:11" x14ac:dyDescent="0.3">
      <c r="A1017" t="s">
        <v>304</v>
      </c>
      <c r="B1017" t="s">
        <v>22</v>
      </c>
      <c r="C1017" t="str">
        <f t="shared" si="46"/>
        <v>IPL-2023</v>
      </c>
      <c r="D1017">
        <f t="shared" si="47"/>
        <v>2023</v>
      </c>
      <c r="E1017" s="1">
        <v>45065</v>
      </c>
      <c r="F1017" t="s">
        <v>22</v>
      </c>
      <c r="G1017" t="s">
        <v>12</v>
      </c>
      <c r="H1017" t="str">
        <f t="shared" si="45"/>
        <v>WIN</v>
      </c>
      <c r="I1017" t="s">
        <v>22</v>
      </c>
      <c r="J1017" t="s">
        <v>307</v>
      </c>
      <c r="K1017" t="s">
        <v>365</v>
      </c>
    </row>
    <row r="1018" spans="1:11" x14ac:dyDescent="0.3">
      <c r="A1018" t="s">
        <v>17</v>
      </c>
      <c r="B1018" t="s">
        <v>281</v>
      </c>
      <c r="C1018" t="str">
        <f t="shared" si="46"/>
        <v>IPL-2023</v>
      </c>
      <c r="D1018">
        <f t="shared" si="47"/>
        <v>2023</v>
      </c>
      <c r="E1018" s="1">
        <v>45066</v>
      </c>
      <c r="F1018" t="s">
        <v>17</v>
      </c>
      <c r="G1018" t="s">
        <v>18</v>
      </c>
      <c r="H1018" t="str">
        <f t="shared" si="45"/>
        <v>WIN</v>
      </c>
      <c r="I1018" t="s">
        <v>17</v>
      </c>
      <c r="J1018" t="s">
        <v>300</v>
      </c>
      <c r="K1018" t="s">
        <v>309</v>
      </c>
    </row>
    <row r="1019" spans="1:11" x14ac:dyDescent="0.3">
      <c r="A1019" t="s">
        <v>319</v>
      </c>
      <c r="B1019" t="s">
        <v>11</v>
      </c>
      <c r="C1019" t="str">
        <f t="shared" si="46"/>
        <v>IPL-2023</v>
      </c>
      <c r="D1019">
        <f t="shared" si="47"/>
        <v>2023</v>
      </c>
      <c r="E1019" s="1">
        <v>45066</v>
      </c>
      <c r="F1019" t="s">
        <v>11</v>
      </c>
      <c r="G1019" t="s">
        <v>12</v>
      </c>
      <c r="H1019" t="str">
        <f t="shared" si="45"/>
        <v>LOSS</v>
      </c>
      <c r="I1019" t="s">
        <v>319</v>
      </c>
      <c r="J1019" t="s">
        <v>351</v>
      </c>
      <c r="K1019" t="s">
        <v>340</v>
      </c>
    </row>
    <row r="1020" spans="1:11" x14ac:dyDescent="0.3">
      <c r="A1020" t="s">
        <v>10</v>
      </c>
      <c r="B1020" t="s">
        <v>320</v>
      </c>
      <c r="C1020" t="str">
        <f t="shared" si="46"/>
        <v>IPL-2023</v>
      </c>
      <c r="D1020">
        <f t="shared" si="47"/>
        <v>2023</v>
      </c>
      <c r="E1020" s="1">
        <v>45067</v>
      </c>
      <c r="F1020" t="s">
        <v>320</v>
      </c>
      <c r="G1020" t="s">
        <v>12</v>
      </c>
      <c r="H1020" t="str">
        <f t="shared" si="45"/>
        <v>WIN</v>
      </c>
      <c r="I1020" t="s">
        <v>320</v>
      </c>
      <c r="J1020" t="s">
        <v>292</v>
      </c>
      <c r="K1020" t="s">
        <v>347</v>
      </c>
    </row>
    <row r="1021" spans="1:11" x14ac:dyDescent="0.3">
      <c r="A1021" t="s">
        <v>187</v>
      </c>
      <c r="B1021" t="s">
        <v>25</v>
      </c>
      <c r="C1021" t="str">
        <f t="shared" si="46"/>
        <v>IPL-2023</v>
      </c>
      <c r="D1021">
        <f t="shared" si="47"/>
        <v>2023</v>
      </c>
      <c r="E1021" s="1">
        <v>45067</v>
      </c>
      <c r="F1021" t="s">
        <v>25</v>
      </c>
      <c r="G1021" t="s">
        <v>12</v>
      </c>
      <c r="H1021" t="str">
        <f t="shared" si="45"/>
        <v>WIN</v>
      </c>
      <c r="I1021" t="s">
        <v>25</v>
      </c>
      <c r="J1021" t="s">
        <v>354</v>
      </c>
      <c r="K1021" t="s">
        <v>303</v>
      </c>
    </row>
    <row r="1022" spans="1:11" x14ac:dyDescent="0.3">
      <c r="A1022" t="s">
        <v>17</v>
      </c>
      <c r="B1022" t="s">
        <v>320</v>
      </c>
      <c r="C1022" t="str">
        <f t="shared" si="46"/>
        <v>IPL-2023</v>
      </c>
      <c r="D1022">
        <f t="shared" si="47"/>
        <v>2023</v>
      </c>
      <c r="E1022" s="1">
        <v>45069</v>
      </c>
      <c r="F1022" t="s">
        <v>320</v>
      </c>
      <c r="G1022" t="s">
        <v>12</v>
      </c>
      <c r="H1022" t="str">
        <f t="shared" si="45"/>
        <v>LOSS</v>
      </c>
      <c r="I1022" t="s">
        <v>17</v>
      </c>
      <c r="J1022" t="s">
        <v>300</v>
      </c>
      <c r="K1022" t="s">
        <v>302</v>
      </c>
    </row>
    <row r="1023" spans="1:11" x14ac:dyDescent="0.3">
      <c r="A1023" t="s">
        <v>25</v>
      </c>
      <c r="B1023" t="s">
        <v>319</v>
      </c>
      <c r="C1023" t="str">
        <f t="shared" si="46"/>
        <v>IPL-2023</v>
      </c>
      <c r="D1023">
        <f t="shared" si="47"/>
        <v>2023</v>
      </c>
      <c r="E1023" s="1">
        <v>45070</v>
      </c>
      <c r="F1023" t="s">
        <v>25</v>
      </c>
      <c r="G1023" t="s">
        <v>18</v>
      </c>
      <c r="H1023" t="str">
        <f t="shared" si="45"/>
        <v>WIN</v>
      </c>
      <c r="I1023" t="s">
        <v>25</v>
      </c>
      <c r="J1023" t="s">
        <v>366</v>
      </c>
      <c r="K1023" t="s">
        <v>302</v>
      </c>
    </row>
    <row r="1024" spans="1:11" x14ac:dyDescent="0.3">
      <c r="A1024" t="s">
        <v>320</v>
      </c>
      <c r="B1024" t="s">
        <v>25</v>
      </c>
      <c r="C1024" t="str">
        <f t="shared" si="46"/>
        <v>IPL-2023</v>
      </c>
      <c r="D1024">
        <f t="shared" si="47"/>
        <v>2023</v>
      </c>
      <c r="E1024" s="1">
        <v>45072</v>
      </c>
      <c r="F1024" t="s">
        <v>25</v>
      </c>
      <c r="G1024" t="s">
        <v>12</v>
      </c>
      <c r="H1024" t="str">
        <f t="shared" si="45"/>
        <v>LOSS</v>
      </c>
      <c r="I1024" t="s">
        <v>320</v>
      </c>
      <c r="J1024" t="s">
        <v>292</v>
      </c>
      <c r="K1024" t="s">
        <v>308</v>
      </c>
    </row>
    <row r="1025" spans="1:11" x14ac:dyDescent="0.3">
      <c r="A1025" t="s">
        <v>320</v>
      </c>
      <c r="B1025" t="s">
        <v>17</v>
      </c>
      <c r="C1025" t="str">
        <f t="shared" si="46"/>
        <v>IPL-2023</v>
      </c>
      <c r="D1025">
        <f t="shared" si="47"/>
        <v>2023</v>
      </c>
      <c r="E1025" s="1">
        <v>45075</v>
      </c>
      <c r="F1025" t="s">
        <v>17</v>
      </c>
      <c r="G1025" t="s">
        <v>12</v>
      </c>
      <c r="H1025" t="str">
        <f t="shared" si="45"/>
        <v>WIN</v>
      </c>
      <c r="I1025" t="s">
        <v>17</v>
      </c>
      <c r="J1025" t="s">
        <v>337</v>
      </c>
      <c r="K1025" t="s">
        <v>308</v>
      </c>
    </row>
    <row r="1026" spans="1:11" x14ac:dyDescent="0.3">
      <c r="A1026" t="s">
        <v>367</v>
      </c>
      <c r="B1026" t="s">
        <v>17</v>
      </c>
      <c r="C1026" t="str">
        <f t="shared" si="46"/>
        <v>IPL-2024</v>
      </c>
      <c r="D1026">
        <f t="shared" si="47"/>
        <v>2024</v>
      </c>
      <c r="E1026" s="1">
        <v>45373</v>
      </c>
      <c r="F1026" t="s">
        <v>367</v>
      </c>
      <c r="G1026" t="s">
        <v>18</v>
      </c>
      <c r="H1026" t="str">
        <f t="shared" ref="H1026:H1089" si="48">IF(F1026=I1026,"WIN","LOSS")</f>
        <v>LOSS</v>
      </c>
      <c r="I1026" t="s">
        <v>17</v>
      </c>
      <c r="J1026" t="s">
        <v>237</v>
      </c>
      <c r="K1026" t="s">
        <v>302</v>
      </c>
    </row>
    <row r="1027" spans="1:11" x14ac:dyDescent="0.3">
      <c r="A1027" t="s">
        <v>11</v>
      </c>
      <c r="B1027" t="s">
        <v>187</v>
      </c>
      <c r="C1027" t="str">
        <f t="shared" ref="C1027:C1090" si="49">_xlfn.CONCAT("IPL-",D1027)</f>
        <v>IPL-2024</v>
      </c>
      <c r="D1027">
        <f t="shared" ref="D1027:D1090" si="50">YEAR(E1027)</f>
        <v>2024</v>
      </c>
      <c r="E1027" s="1">
        <v>45374</v>
      </c>
      <c r="F1027" t="s">
        <v>187</v>
      </c>
      <c r="G1027" t="s">
        <v>12</v>
      </c>
      <c r="H1027" t="str">
        <f t="shared" si="48"/>
        <v>LOSS</v>
      </c>
      <c r="I1027" t="s">
        <v>11</v>
      </c>
      <c r="J1027" t="s">
        <v>221</v>
      </c>
      <c r="K1027" t="s">
        <v>340</v>
      </c>
    </row>
    <row r="1028" spans="1:11" x14ac:dyDescent="0.3">
      <c r="A1028" t="s">
        <v>281</v>
      </c>
      <c r="B1028" t="s">
        <v>304</v>
      </c>
      <c r="C1028" t="str">
        <f t="shared" si="49"/>
        <v>IPL-2024</v>
      </c>
      <c r="D1028">
        <f t="shared" si="50"/>
        <v>2024</v>
      </c>
      <c r="E1028" s="1">
        <v>45374</v>
      </c>
      <c r="F1028" t="s">
        <v>304</v>
      </c>
      <c r="G1028" t="s">
        <v>12</v>
      </c>
      <c r="H1028" t="str">
        <f t="shared" si="48"/>
        <v>WIN</v>
      </c>
      <c r="I1028" t="s">
        <v>304</v>
      </c>
      <c r="J1028" t="s">
        <v>284</v>
      </c>
      <c r="K1028" t="s">
        <v>368</v>
      </c>
    </row>
    <row r="1029" spans="1:11" x14ac:dyDescent="0.3">
      <c r="A1029" t="s">
        <v>22</v>
      </c>
      <c r="B1029" t="s">
        <v>319</v>
      </c>
      <c r="C1029" t="str">
        <f t="shared" si="49"/>
        <v>IPL-2024</v>
      </c>
      <c r="D1029">
        <f t="shared" si="50"/>
        <v>2024</v>
      </c>
      <c r="E1029" s="1">
        <v>45375</v>
      </c>
      <c r="F1029" t="s">
        <v>22</v>
      </c>
      <c r="G1029" t="s">
        <v>18</v>
      </c>
      <c r="H1029" t="str">
        <f t="shared" si="48"/>
        <v>WIN</v>
      </c>
      <c r="I1029" t="s">
        <v>22</v>
      </c>
      <c r="J1029" t="s">
        <v>196</v>
      </c>
      <c r="K1029" t="s">
        <v>355</v>
      </c>
    </row>
    <row r="1030" spans="1:11" x14ac:dyDescent="0.3">
      <c r="A1030" t="s">
        <v>320</v>
      </c>
      <c r="B1030" t="s">
        <v>25</v>
      </c>
      <c r="C1030" t="str">
        <f t="shared" si="49"/>
        <v>IPL-2024</v>
      </c>
      <c r="D1030">
        <f t="shared" si="50"/>
        <v>2024</v>
      </c>
      <c r="E1030" s="1">
        <v>45375</v>
      </c>
      <c r="F1030" t="s">
        <v>25</v>
      </c>
      <c r="G1030" t="s">
        <v>12</v>
      </c>
      <c r="H1030" t="str">
        <f t="shared" si="48"/>
        <v>LOSS</v>
      </c>
      <c r="I1030" t="s">
        <v>320</v>
      </c>
      <c r="J1030" t="s">
        <v>348</v>
      </c>
      <c r="K1030" t="s">
        <v>308</v>
      </c>
    </row>
    <row r="1031" spans="1:11" x14ac:dyDescent="0.3">
      <c r="A1031" t="s">
        <v>304</v>
      </c>
      <c r="B1031" t="s">
        <v>367</v>
      </c>
      <c r="C1031" t="str">
        <f t="shared" si="49"/>
        <v>IPL-2024</v>
      </c>
      <c r="D1031">
        <f t="shared" si="50"/>
        <v>2024</v>
      </c>
      <c r="E1031" s="1">
        <v>45376</v>
      </c>
      <c r="F1031" t="s">
        <v>367</v>
      </c>
      <c r="G1031" t="s">
        <v>12</v>
      </c>
      <c r="H1031" t="str">
        <f t="shared" si="48"/>
        <v>WIN</v>
      </c>
      <c r="I1031" t="s">
        <v>367</v>
      </c>
      <c r="J1031" t="s">
        <v>151</v>
      </c>
      <c r="K1031" t="s">
        <v>347</v>
      </c>
    </row>
    <row r="1032" spans="1:11" x14ac:dyDescent="0.3">
      <c r="A1032" t="s">
        <v>17</v>
      </c>
      <c r="B1032" t="s">
        <v>320</v>
      </c>
      <c r="C1032" t="str">
        <f t="shared" si="49"/>
        <v>IPL-2024</v>
      </c>
      <c r="D1032">
        <f t="shared" si="50"/>
        <v>2024</v>
      </c>
      <c r="E1032" s="1">
        <v>45377</v>
      </c>
      <c r="F1032" t="s">
        <v>320</v>
      </c>
      <c r="G1032" t="s">
        <v>12</v>
      </c>
      <c r="H1032" t="str">
        <f t="shared" si="48"/>
        <v>LOSS</v>
      </c>
      <c r="I1032" t="s">
        <v>17</v>
      </c>
      <c r="J1032" t="s">
        <v>328</v>
      </c>
      <c r="K1032" t="s">
        <v>302</v>
      </c>
    </row>
    <row r="1033" spans="1:11" x14ac:dyDescent="0.3">
      <c r="A1033" t="s">
        <v>187</v>
      </c>
      <c r="B1033" t="s">
        <v>25</v>
      </c>
      <c r="C1033" t="str">
        <f t="shared" si="49"/>
        <v>IPL-2024</v>
      </c>
      <c r="D1033">
        <f t="shared" si="50"/>
        <v>2024</v>
      </c>
      <c r="E1033" s="1">
        <v>45378</v>
      </c>
      <c r="F1033" t="s">
        <v>25</v>
      </c>
      <c r="G1033" t="s">
        <v>12</v>
      </c>
      <c r="H1033" t="str">
        <f t="shared" si="48"/>
        <v>LOSS</v>
      </c>
      <c r="I1033" t="s">
        <v>187</v>
      </c>
      <c r="J1033" t="s">
        <v>326</v>
      </c>
      <c r="K1033" t="s">
        <v>346</v>
      </c>
    </row>
    <row r="1034" spans="1:11" x14ac:dyDescent="0.3">
      <c r="A1034" t="s">
        <v>22</v>
      </c>
      <c r="B1034" t="s">
        <v>281</v>
      </c>
      <c r="C1034" t="str">
        <f t="shared" si="49"/>
        <v>IPL-2024</v>
      </c>
      <c r="D1034">
        <f t="shared" si="50"/>
        <v>2024</v>
      </c>
      <c r="E1034" s="1">
        <v>45379</v>
      </c>
      <c r="F1034" t="s">
        <v>281</v>
      </c>
      <c r="G1034" t="s">
        <v>12</v>
      </c>
      <c r="H1034" t="str">
        <f t="shared" si="48"/>
        <v>LOSS</v>
      </c>
      <c r="I1034" t="s">
        <v>22</v>
      </c>
      <c r="J1034" t="s">
        <v>332</v>
      </c>
      <c r="K1034" t="s">
        <v>355</v>
      </c>
    </row>
    <row r="1035" spans="1:11" x14ac:dyDescent="0.3">
      <c r="A1035" t="s">
        <v>367</v>
      </c>
      <c r="B1035" t="s">
        <v>11</v>
      </c>
      <c r="C1035" t="str">
        <f t="shared" si="49"/>
        <v>IPL-2024</v>
      </c>
      <c r="D1035">
        <f t="shared" si="50"/>
        <v>2024</v>
      </c>
      <c r="E1035" s="1">
        <v>45380</v>
      </c>
      <c r="F1035" t="s">
        <v>11</v>
      </c>
      <c r="G1035" t="s">
        <v>12</v>
      </c>
      <c r="H1035" t="str">
        <f t="shared" si="48"/>
        <v>WIN</v>
      </c>
      <c r="I1035" t="s">
        <v>11</v>
      </c>
      <c r="J1035" t="s">
        <v>176</v>
      </c>
      <c r="K1035" t="s">
        <v>347</v>
      </c>
    </row>
    <row r="1036" spans="1:11" x14ac:dyDescent="0.3">
      <c r="A1036" t="s">
        <v>319</v>
      </c>
      <c r="B1036" t="s">
        <v>304</v>
      </c>
      <c r="C1036" t="str">
        <f t="shared" si="49"/>
        <v>IPL-2024</v>
      </c>
      <c r="D1036">
        <f t="shared" si="50"/>
        <v>2024</v>
      </c>
      <c r="E1036" s="1">
        <v>45381</v>
      </c>
      <c r="F1036" t="s">
        <v>319</v>
      </c>
      <c r="G1036" t="s">
        <v>18</v>
      </c>
      <c r="H1036" t="str">
        <f t="shared" si="48"/>
        <v>WIN</v>
      </c>
      <c r="I1036" t="s">
        <v>319</v>
      </c>
      <c r="J1036" t="s">
        <v>369</v>
      </c>
      <c r="K1036" t="s">
        <v>345</v>
      </c>
    </row>
    <row r="1037" spans="1:11" x14ac:dyDescent="0.3">
      <c r="A1037" t="s">
        <v>187</v>
      </c>
      <c r="B1037" t="s">
        <v>320</v>
      </c>
      <c r="C1037" t="str">
        <f t="shared" si="49"/>
        <v>IPL-2024</v>
      </c>
      <c r="D1037">
        <f t="shared" si="50"/>
        <v>2024</v>
      </c>
      <c r="E1037" s="1">
        <v>45382</v>
      </c>
      <c r="F1037" t="s">
        <v>187</v>
      </c>
      <c r="G1037" t="s">
        <v>18</v>
      </c>
      <c r="H1037" t="str">
        <f t="shared" si="48"/>
        <v>LOSS</v>
      </c>
      <c r="I1037" t="s">
        <v>320</v>
      </c>
      <c r="J1037" t="s">
        <v>210</v>
      </c>
      <c r="K1037" t="s">
        <v>308</v>
      </c>
    </row>
    <row r="1038" spans="1:11" x14ac:dyDescent="0.3">
      <c r="A1038" t="s">
        <v>281</v>
      </c>
      <c r="B1038" t="s">
        <v>17</v>
      </c>
      <c r="C1038" t="str">
        <f t="shared" si="49"/>
        <v>IPL-2024</v>
      </c>
      <c r="D1038">
        <f t="shared" si="50"/>
        <v>2024</v>
      </c>
      <c r="E1038" s="1">
        <v>45382</v>
      </c>
      <c r="F1038" t="s">
        <v>281</v>
      </c>
      <c r="G1038" t="s">
        <v>18</v>
      </c>
      <c r="H1038" t="str">
        <f t="shared" si="48"/>
        <v>WIN</v>
      </c>
      <c r="I1038" t="s">
        <v>281</v>
      </c>
      <c r="J1038" t="s">
        <v>291</v>
      </c>
      <c r="K1038" t="s">
        <v>370</v>
      </c>
    </row>
    <row r="1039" spans="1:11" x14ac:dyDescent="0.3">
      <c r="A1039" t="s">
        <v>25</v>
      </c>
      <c r="B1039" t="s">
        <v>22</v>
      </c>
      <c r="C1039" t="str">
        <f t="shared" si="49"/>
        <v>IPL-2024</v>
      </c>
      <c r="D1039">
        <f t="shared" si="50"/>
        <v>2024</v>
      </c>
      <c r="E1039" s="1">
        <v>45383</v>
      </c>
      <c r="F1039" t="s">
        <v>22</v>
      </c>
      <c r="G1039" t="s">
        <v>12</v>
      </c>
      <c r="H1039" t="str">
        <f t="shared" si="48"/>
        <v>WIN</v>
      </c>
      <c r="I1039" t="s">
        <v>22</v>
      </c>
      <c r="J1039" t="s">
        <v>225</v>
      </c>
      <c r="K1039" t="s">
        <v>303</v>
      </c>
    </row>
    <row r="1040" spans="1:11" x14ac:dyDescent="0.3">
      <c r="A1040" t="s">
        <v>319</v>
      </c>
      <c r="B1040" t="s">
        <v>367</v>
      </c>
      <c r="C1040" t="str">
        <f t="shared" si="49"/>
        <v>IPL-2024</v>
      </c>
      <c r="D1040">
        <f t="shared" si="50"/>
        <v>2024</v>
      </c>
      <c r="E1040" s="1">
        <v>45384</v>
      </c>
      <c r="F1040" t="s">
        <v>367</v>
      </c>
      <c r="G1040" t="s">
        <v>12</v>
      </c>
      <c r="H1040" t="str">
        <f t="shared" si="48"/>
        <v>LOSS</v>
      </c>
      <c r="I1040" t="s">
        <v>319</v>
      </c>
      <c r="J1040" t="s">
        <v>369</v>
      </c>
      <c r="K1040" t="s">
        <v>347</v>
      </c>
    </row>
    <row r="1041" spans="1:11" x14ac:dyDescent="0.3">
      <c r="A1041" t="s">
        <v>11</v>
      </c>
      <c r="B1041" t="s">
        <v>281</v>
      </c>
      <c r="C1041" t="str">
        <f t="shared" si="49"/>
        <v>IPL-2024</v>
      </c>
      <c r="D1041">
        <f t="shared" si="50"/>
        <v>2024</v>
      </c>
      <c r="E1041" s="1">
        <v>45385</v>
      </c>
      <c r="F1041" t="s">
        <v>11</v>
      </c>
      <c r="G1041" t="s">
        <v>18</v>
      </c>
      <c r="H1041" t="str">
        <f t="shared" si="48"/>
        <v>WIN</v>
      </c>
      <c r="I1041" t="s">
        <v>11</v>
      </c>
      <c r="J1041" t="s">
        <v>176</v>
      </c>
      <c r="K1041" t="s">
        <v>370</v>
      </c>
    </row>
    <row r="1042" spans="1:11" x14ac:dyDescent="0.3">
      <c r="A1042" t="s">
        <v>320</v>
      </c>
      <c r="B1042" t="s">
        <v>304</v>
      </c>
      <c r="C1042" t="str">
        <f t="shared" si="49"/>
        <v>IPL-2024</v>
      </c>
      <c r="D1042">
        <f t="shared" si="50"/>
        <v>2024</v>
      </c>
      <c r="E1042" s="1">
        <v>45386</v>
      </c>
      <c r="F1042" t="s">
        <v>304</v>
      </c>
      <c r="G1042" t="s">
        <v>12</v>
      </c>
      <c r="H1042" t="str">
        <f t="shared" si="48"/>
        <v>WIN</v>
      </c>
      <c r="I1042" t="s">
        <v>304</v>
      </c>
      <c r="J1042" t="s">
        <v>371</v>
      </c>
      <c r="K1042" t="s">
        <v>308</v>
      </c>
    </row>
    <row r="1043" spans="1:11" x14ac:dyDescent="0.3">
      <c r="A1043" t="s">
        <v>17</v>
      </c>
      <c r="B1043" t="s">
        <v>187</v>
      </c>
      <c r="C1043" t="str">
        <f t="shared" si="49"/>
        <v>IPL-2024</v>
      </c>
      <c r="D1043">
        <f t="shared" si="50"/>
        <v>2024</v>
      </c>
      <c r="E1043" s="1">
        <v>45387</v>
      </c>
      <c r="F1043" t="s">
        <v>187</v>
      </c>
      <c r="G1043" t="s">
        <v>12</v>
      </c>
      <c r="H1043" t="str">
        <f t="shared" si="48"/>
        <v>WIN</v>
      </c>
      <c r="I1043" t="s">
        <v>187</v>
      </c>
      <c r="J1043" t="s">
        <v>326</v>
      </c>
      <c r="K1043" t="s">
        <v>346</v>
      </c>
    </row>
    <row r="1044" spans="1:11" x14ac:dyDescent="0.3">
      <c r="A1044" t="s">
        <v>367</v>
      </c>
      <c r="B1044" t="s">
        <v>22</v>
      </c>
      <c r="C1044" t="str">
        <f t="shared" si="49"/>
        <v>IPL-2024</v>
      </c>
      <c r="D1044">
        <f t="shared" si="50"/>
        <v>2024</v>
      </c>
      <c r="E1044" s="1">
        <v>45388</v>
      </c>
      <c r="F1044" t="s">
        <v>22</v>
      </c>
      <c r="G1044" t="s">
        <v>12</v>
      </c>
      <c r="H1044" t="str">
        <f t="shared" si="48"/>
        <v>WIN</v>
      </c>
      <c r="I1044" t="s">
        <v>22</v>
      </c>
      <c r="J1044" t="s">
        <v>257</v>
      </c>
      <c r="K1044" t="s">
        <v>355</v>
      </c>
    </row>
    <row r="1045" spans="1:11" x14ac:dyDescent="0.3">
      <c r="A1045" t="s">
        <v>319</v>
      </c>
      <c r="B1045" t="s">
        <v>320</v>
      </c>
      <c r="C1045" t="str">
        <f t="shared" si="49"/>
        <v>IPL-2024</v>
      </c>
      <c r="D1045">
        <f t="shared" si="50"/>
        <v>2024</v>
      </c>
      <c r="E1045" s="1">
        <v>45389</v>
      </c>
      <c r="F1045" t="s">
        <v>319</v>
      </c>
      <c r="G1045" t="s">
        <v>18</v>
      </c>
      <c r="H1045" t="str">
        <f t="shared" si="48"/>
        <v>WIN</v>
      </c>
      <c r="I1045" t="s">
        <v>319</v>
      </c>
      <c r="J1045" t="s">
        <v>372</v>
      </c>
      <c r="K1045" t="s">
        <v>345</v>
      </c>
    </row>
    <row r="1046" spans="1:11" x14ac:dyDescent="0.3">
      <c r="A1046" t="s">
        <v>25</v>
      </c>
      <c r="B1046" t="s">
        <v>281</v>
      </c>
      <c r="C1046" t="str">
        <f t="shared" si="49"/>
        <v>IPL-2024</v>
      </c>
      <c r="D1046">
        <f t="shared" si="50"/>
        <v>2024</v>
      </c>
      <c r="E1046" s="1">
        <v>45389</v>
      </c>
      <c r="F1046" t="s">
        <v>281</v>
      </c>
      <c r="G1046" t="s">
        <v>12</v>
      </c>
      <c r="H1046" t="str">
        <f t="shared" si="48"/>
        <v>LOSS</v>
      </c>
      <c r="I1046" t="s">
        <v>25</v>
      </c>
      <c r="J1046" t="s">
        <v>373</v>
      </c>
      <c r="K1046" t="s">
        <v>303</v>
      </c>
    </row>
    <row r="1047" spans="1:11" x14ac:dyDescent="0.3">
      <c r="A1047" t="s">
        <v>11</v>
      </c>
      <c r="B1047" t="s">
        <v>17</v>
      </c>
      <c r="C1047" t="str">
        <f t="shared" si="49"/>
        <v>IPL-2024</v>
      </c>
      <c r="D1047">
        <f t="shared" si="50"/>
        <v>2024</v>
      </c>
      <c r="E1047" s="1">
        <v>45390</v>
      </c>
      <c r="F1047" t="s">
        <v>17</v>
      </c>
      <c r="G1047" t="s">
        <v>12</v>
      </c>
      <c r="H1047" t="str">
        <f t="shared" si="48"/>
        <v>WIN</v>
      </c>
      <c r="I1047" t="s">
        <v>17</v>
      </c>
      <c r="J1047" t="s">
        <v>167</v>
      </c>
      <c r="K1047" t="s">
        <v>302</v>
      </c>
    </row>
    <row r="1048" spans="1:11" x14ac:dyDescent="0.3">
      <c r="A1048" t="s">
        <v>187</v>
      </c>
      <c r="B1048" t="s">
        <v>304</v>
      </c>
      <c r="C1048" t="str">
        <f t="shared" si="49"/>
        <v>IPL-2024</v>
      </c>
      <c r="D1048">
        <f t="shared" si="50"/>
        <v>2024</v>
      </c>
      <c r="E1048" s="1">
        <v>45391</v>
      </c>
      <c r="F1048" t="s">
        <v>304</v>
      </c>
      <c r="G1048" t="s">
        <v>12</v>
      </c>
      <c r="H1048" t="str">
        <f t="shared" si="48"/>
        <v>LOSS</v>
      </c>
      <c r="I1048" t="s">
        <v>187</v>
      </c>
      <c r="J1048" t="s">
        <v>374</v>
      </c>
      <c r="K1048" t="s">
        <v>368</v>
      </c>
    </row>
    <row r="1049" spans="1:11" x14ac:dyDescent="0.3">
      <c r="A1049" t="s">
        <v>22</v>
      </c>
      <c r="B1049" t="s">
        <v>320</v>
      </c>
      <c r="C1049" t="str">
        <f t="shared" si="49"/>
        <v>IPL-2024</v>
      </c>
      <c r="D1049">
        <f t="shared" si="50"/>
        <v>2024</v>
      </c>
      <c r="E1049" s="1">
        <v>45392</v>
      </c>
      <c r="F1049" t="s">
        <v>320</v>
      </c>
      <c r="G1049" t="s">
        <v>12</v>
      </c>
      <c r="H1049" t="str">
        <f t="shared" si="48"/>
        <v>WIN</v>
      </c>
      <c r="I1049" t="s">
        <v>320</v>
      </c>
      <c r="J1049" t="s">
        <v>251</v>
      </c>
      <c r="K1049" t="s">
        <v>355</v>
      </c>
    </row>
    <row r="1050" spans="1:11" x14ac:dyDescent="0.3">
      <c r="A1050" t="s">
        <v>367</v>
      </c>
      <c r="B1050" t="s">
        <v>25</v>
      </c>
      <c r="C1050" t="str">
        <f t="shared" si="49"/>
        <v>IPL-2024</v>
      </c>
      <c r="D1050">
        <f t="shared" si="50"/>
        <v>2024</v>
      </c>
      <c r="E1050" s="1">
        <v>45393</v>
      </c>
      <c r="F1050" t="s">
        <v>25</v>
      </c>
      <c r="G1050" t="s">
        <v>12</v>
      </c>
      <c r="H1050" t="str">
        <f t="shared" si="48"/>
        <v>WIN</v>
      </c>
      <c r="I1050" t="s">
        <v>25</v>
      </c>
      <c r="J1050" t="s">
        <v>253</v>
      </c>
      <c r="K1050" t="s">
        <v>303</v>
      </c>
    </row>
    <row r="1051" spans="1:11" x14ac:dyDescent="0.3">
      <c r="A1051" t="s">
        <v>319</v>
      </c>
      <c r="B1051" t="s">
        <v>281</v>
      </c>
      <c r="C1051" t="str">
        <f t="shared" si="49"/>
        <v>IPL-2024</v>
      </c>
      <c r="D1051">
        <f t="shared" si="50"/>
        <v>2024</v>
      </c>
      <c r="E1051" s="1">
        <v>45394</v>
      </c>
      <c r="F1051" t="s">
        <v>319</v>
      </c>
      <c r="G1051" t="s">
        <v>18</v>
      </c>
      <c r="H1051" t="str">
        <f t="shared" si="48"/>
        <v>LOSS</v>
      </c>
      <c r="I1051" t="s">
        <v>281</v>
      </c>
      <c r="J1051" t="s">
        <v>278</v>
      </c>
      <c r="K1051" t="s">
        <v>345</v>
      </c>
    </row>
    <row r="1052" spans="1:11" x14ac:dyDescent="0.3">
      <c r="A1052" t="s">
        <v>304</v>
      </c>
      <c r="B1052" t="s">
        <v>22</v>
      </c>
      <c r="C1052" t="str">
        <f t="shared" si="49"/>
        <v>IPL-2024</v>
      </c>
      <c r="D1052">
        <f t="shared" si="50"/>
        <v>2024</v>
      </c>
      <c r="E1052" s="1">
        <v>45395</v>
      </c>
      <c r="F1052" t="s">
        <v>22</v>
      </c>
      <c r="G1052" t="s">
        <v>12</v>
      </c>
      <c r="H1052" t="str">
        <f t="shared" si="48"/>
        <v>WIN</v>
      </c>
      <c r="I1052" t="s">
        <v>22</v>
      </c>
      <c r="J1052" t="s">
        <v>293</v>
      </c>
      <c r="K1052" t="s">
        <v>368</v>
      </c>
    </row>
    <row r="1053" spans="1:11" x14ac:dyDescent="0.3">
      <c r="A1053" t="s">
        <v>17</v>
      </c>
      <c r="B1053" t="s">
        <v>25</v>
      </c>
      <c r="C1053" t="str">
        <f t="shared" si="49"/>
        <v>IPL-2024</v>
      </c>
      <c r="D1053">
        <f t="shared" si="50"/>
        <v>2024</v>
      </c>
      <c r="E1053" s="1">
        <v>45396</v>
      </c>
      <c r="F1053" t="s">
        <v>25</v>
      </c>
      <c r="G1053" t="s">
        <v>12</v>
      </c>
      <c r="H1053" t="str">
        <f t="shared" si="48"/>
        <v>LOSS</v>
      </c>
      <c r="I1053" t="s">
        <v>17</v>
      </c>
      <c r="J1053" t="s">
        <v>359</v>
      </c>
      <c r="K1053" t="s">
        <v>303</v>
      </c>
    </row>
    <row r="1054" spans="1:11" x14ac:dyDescent="0.3">
      <c r="A1054" t="s">
        <v>319</v>
      </c>
      <c r="B1054" t="s">
        <v>11</v>
      </c>
      <c r="C1054" t="str">
        <f t="shared" si="49"/>
        <v>IPL-2024</v>
      </c>
      <c r="D1054">
        <f t="shared" si="50"/>
        <v>2024</v>
      </c>
      <c r="E1054" s="1">
        <v>45396</v>
      </c>
      <c r="F1054" t="s">
        <v>11</v>
      </c>
      <c r="G1054" t="s">
        <v>12</v>
      </c>
      <c r="H1054" t="str">
        <f t="shared" si="48"/>
        <v>WIN</v>
      </c>
      <c r="I1054" t="s">
        <v>11</v>
      </c>
      <c r="J1054" t="s">
        <v>358</v>
      </c>
      <c r="K1054" t="s">
        <v>340</v>
      </c>
    </row>
    <row r="1055" spans="1:11" x14ac:dyDescent="0.3">
      <c r="A1055" t="s">
        <v>187</v>
      </c>
      <c r="B1055" t="s">
        <v>367</v>
      </c>
      <c r="C1055" t="str">
        <f t="shared" si="49"/>
        <v>IPL-2024</v>
      </c>
      <c r="D1055">
        <f t="shared" si="50"/>
        <v>2024</v>
      </c>
      <c r="E1055" s="1">
        <v>45397</v>
      </c>
      <c r="F1055" t="s">
        <v>367</v>
      </c>
      <c r="G1055" t="s">
        <v>12</v>
      </c>
      <c r="H1055" t="str">
        <f t="shared" si="48"/>
        <v>LOSS</v>
      </c>
      <c r="I1055" t="s">
        <v>187</v>
      </c>
      <c r="J1055" t="s">
        <v>375</v>
      </c>
      <c r="K1055" t="s">
        <v>347</v>
      </c>
    </row>
    <row r="1056" spans="1:11" x14ac:dyDescent="0.3">
      <c r="A1056" t="s">
        <v>11</v>
      </c>
      <c r="B1056" t="s">
        <v>22</v>
      </c>
      <c r="C1056" t="str">
        <f t="shared" si="49"/>
        <v>IPL-2024</v>
      </c>
      <c r="D1056">
        <f t="shared" si="50"/>
        <v>2024</v>
      </c>
      <c r="E1056" s="1">
        <v>45398</v>
      </c>
      <c r="F1056" t="s">
        <v>22</v>
      </c>
      <c r="G1056" t="s">
        <v>12</v>
      </c>
      <c r="H1056" t="str">
        <f t="shared" si="48"/>
        <v>WIN</v>
      </c>
      <c r="I1056" t="s">
        <v>22</v>
      </c>
      <c r="J1056" t="s">
        <v>257</v>
      </c>
      <c r="K1056" t="s">
        <v>340</v>
      </c>
    </row>
    <row r="1057" spans="1:11" x14ac:dyDescent="0.3">
      <c r="A1057" t="s">
        <v>320</v>
      </c>
      <c r="B1057" t="s">
        <v>281</v>
      </c>
      <c r="C1057" t="str">
        <f t="shared" si="49"/>
        <v>IPL-2024</v>
      </c>
      <c r="D1057">
        <f t="shared" si="50"/>
        <v>2024</v>
      </c>
      <c r="E1057" s="1">
        <v>45399</v>
      </c>
      <c r="F1057" t="s">
        <v>281</v>
      </c>
      <c r="G1057" t="s">
        <v>12</v>
      </c>
      <c r="H1057" t="str">
        <f t="shared" si="48"/>
        <v>WIN</v>
      </c>
      <c r="I1057" t="s">
        <v>281</v>
      </c>
      <c r="J1057" t="s">
        <v>242</v>
      </c>
      <c r="K1057" t="s">
        <v>308</v>
      </c>
    </row>
    <row r="1058" spans="1:11" x14ac:dyDescent="0.3">
      <c r="A1058" t="s">
        <v>25</v>
      </c>
      <c r="B1058" t="s">
        <v>304</v>
      </c>
      <c r="C1058" t="str">
        <f t="shared" si="49"/>
        <v>IPL-2024</v>
      </c>
      <c r="D1058">
        <f t="shared" si="50"/>
        <v>2024</v>
      </c>
      <c r="E1058" s="1">
        <v>45400</v>
      </c>
      <c r="F1058" t="s">
        <v>304</v>
      </c>
      <c r="G1058" t="s">
        <v>12</v>
      </c>
      <c r="H1058" t="str">
        <f t="shared" si="48"/>
        <v>LOSS</v>
      </c>
      <c r="I1058" t="s">
        <v>25</v>
      </c>
      <c r="J1058" t="s">
        <v>253</v>
      </c>
      <c r="K1058" t="s">
        <v>368</v>
      </c>
    </row>
    <row r="1059" spans="1:11" x14ac:dyDescent="0.3">
      <c r="A1059" t="s">
        <v>17</v>
      </c>
      <c r="B1059" t="s">
        <v>319</v>
      </c>
      <c r="C1059" t="str">
        <f t="shared" si="49"/>
        <v>IPL-2024</v>
      </c>
      <c r="D1059">
        <f t="shared" si="50"/>
        <v>2024</v>
      </c>
      <c r="E1059" s="1">
        <v>45401</v>
      </c>
      <c r="F1059" t="s">
        <v>319</v>
      </c>
      <c r="G1059" t="s">
        <v>12</v>
      </c>
      <c r="H1059" t="str">
        <f t="shared" si="48"/>
        <v>WIN</v>
      </c>
      <c r="I1059" t="s">
        <v>319</v>
      </c>
      <c r="J1059" t="s">
        <v>265</v>
      </c>
      <c r="K1059" t="s">
        <v>345</v>
      </c>
    </row>
    <row r="1060" spans="1:11" x14ac:dyDescent="0.3">
      <c r="A1060" t="s">
        <v>187</v>
      </c>
      <c r="B1060" t="s">
        <v>281</v>
      </c>
      <c r="C1060" t="str">
        <f t="shared" si="49"/>
        <v>IPL-2024</v>
      </c>
      <c r="D1060">
        <f t="shared" si="50"/>
        <v>2024</v>
      </c>
      <c r="E1060" s="1">
        <v>45402</v>
      </c>
      <c r="F1060" t="s">
        <v>281</v>
      </c>
      <c r="G1060" t="s">
        <v>12</v>
      </c>
      <c r="H1060" t="str">
        <f t="shared" si="48"/>
        <v>LOSS</v>
      </c>
      <c r="I1060" t="s">
        <v>187</v>
      </c>
      <c r="J1060" t="s">
        <v>375</v>
      </c>
      <c r="K1060" t="s">
        <v>309</v>
      </c>
    </row>
    <row r="1061" spans="1:11" x14ac:dyDescent="0.3">
      <c r="A1061" t="s">
        <v>11</v>
      </c>
      <c r="B1061" t="s">
        <v>367</v>
      </c>
      <c r="C1061" t="str">
        <f t="shared" si="49"/>
        <v>IPL-2024</v>
      </c>
      <c r="D1061">
        <f t="shared" si="50"/>
        <v>2024</v>
      </c>
      <c r="E1061" s="1">
        <v>45403</v>
      </c>
      <c r="F1061" t="s">
        <v>367</v>
      </c>
      <c r="G1061" t="s">
        <v>12</v>
      </c>
      <c r="H1061" t="str">
        <f t="shared" si="48"/>
        <v>LOSS</v>
      </c>
      <c r="I1061" t="s">
        <v>11</v>
      </c>
      <c r="J1061" t="s">
        <v>221</v>
      </c>
      <c r="K1061" t="s">
        <v>340</v>
      </c>
    </row>
    <row r="1062" spans="1:11" x14ac:dyDescent="0.3">
      <c r="A1062" t="s">
        <v>304</v>
      </c>
      <c r="B1062" t="s">
        <v>320</v>
      </c>
      <c r="C1062" t="str">
        <f t="shared" si="49"/>
        <v>IPL-2024</v>
      </c>
      <c r="D1062">
        <f t="shared" si="50"/>
        <v>2024</v>
      </c>
      <c r="E1062" s="1">
        <v>45403</v>
      </c>
      <c r="F1062" t="s">
        <v>304</v>
      </c>
      <c r="G1062" t="s">
        <v>18</v>
      </c>
      <c r="H1062" t="str">
        <f t="shared" si="48"/>
        <v>LOSS</v>
      </c>
      <c r="I1062" t="s">
        <v>320</v>
      </c>
      <c r="J1062" t="s">
        <v>376</v>
      </c>
      <c r="K1062" t="s">
        <v>368</v>
      </c>
    </row>
    <row r="1063" spans="1:11" x14ac:dyDescent="0.3">
      <c r="A1063" t="s">
        <v>25</v>
      </c>
      <c r="B1063" t="s">
        <v>22</v>
      </c>
      <c r="C1063" t="str">
        <f t="shared" si="49"/>
        <v>IPL-2024</v>
      </c>
      <c r="D1063">
        <f t="shared" si="50"/>
        <v>2024</v>
      </c>
      <c r="E1063" s="1">
        <v>45404</v>
      </c>
      <c r="F1063" t="s">
        <v>25</v>
      </c>
      <c r="G1063" t="s">
        <v>18</v>
      </c>
      <c r="H1063" t="str">
        <f t="shared" si="48"/>
        <v>LOSS</v>
      </c>
      <c r="I1063" t="s">
        <v>22</v>
      </c>
      <c r="J1063" t="s">
        <v>212</v>
      </c>
      <c r="K1063" t="s">
        <v>355</v>
      </c>
    </row>
    <row r="1064" spans="1:11" x14ac:dyDescent="0.3">
      <c r="A1064" t="s">
        <v>17</v>
      </c>
      <c r="B1064" t="s">
        <v>319</v>
      </c>
      <c r="C1064" t="str">
        <f t="shared" si="49"/>
        <v>IPL-2024</v>
      </c>
      <c r="D1064">
        <f t="shared" si="50"/>
        <v>2024</v>
      </c>
      <c r="E1064" s="1">
        <v>45405</v>
      </c>
      <c r="F1064" t="s">
        <v>319</v>
      </c>
      <c r="G1064" t="s">
        <v>12</v>
      </c>
      <c r="H1064" t="str">
        <f t="shared" si="48"/>
        <v>WIN</v>
      </c>
      <c r="I1064" t="s">
        <v>319</v>
      </c>
      <c r="J1064" t="s">
        <v>243</v>
      </c>
      <c r="K1064" t="s">
        <v>302</v>
      </c>
    </row>
    <row r="1065" spans="1:11" x14ac:dyDescent="0.3">
      <c r="A1065" t="s">
        <v>281</v>
      </c>
      <c r="B1065" t="s">
        <v>320</v>
      </c>
      <c r="C1065" t="str">
        <f t="shared" si="49"/>
        <v>IPL-2024</v>
      </c>
      <c r="D1065">
        <f t="shared" si="50"/>
        <v>2024</v>
      </c>
      <c r="E1065" s="1">
        <v>45406</v>
      </c>
      <c r="F1065" t="s">
        <v>320</v>
      </c>
      <c r="G1065" t="s">
        <v>12</v>
      </c>
      <c r="H1065" t="str">
        <f t="shared" si="48"/>
        <v>LOSS</v>
      </c>
      <c r="I1065" t="s">
        <v>281</v>
      </c>
      <c r="J1065" t="s">
        <v>242</v>
      </c>
      <c r="K1065" t="s">
        <v>309</v>
      </c>
    </row>
    <row r="1066" spans="1:11" x14ac:dyDescent="0.3">
      <c r="A1066" t="s">
        <v>367</v>
      </c>
      <c r="B1066" t="s">
        <v>187</v>
      </c>
      <c r="C1066" t="str">
        <f t="shared" si="49"/>
        <v>IPL-2024</v>
      </c>
      <c r="D1066">
        <f t="shared" si="50"/>
        <v>2024</v>
      </c>
      <c r="E1066" s="1">
        <v>45407</v>
      </c>
      <c r="F1066" t="s">
        <v>367</v>
      </c>
      <c r="G1066" t="s">
        <v>18</v>
      </c>
      <c r="H1066" t="str">
        <f t="shared" si="48"/>
        <v>WIN</v>
      </c>
      <c r="I1066" t="s">
        <v>367</v>
      </c>
      <c r="J1066" t="s">
        <v>341</v>
      </c>
      <c r="K1066" t="s">
        <v>346</v>
      </c>
    </row>
    <row r="1067" spans="1:11" x14ac:dyDescent="0.3">
      <c r="A1067" t="s">
        <v>11</v>
      </c>
      <c r="B1067" t="s">
        <v>304</v>
      </c>
      <c r="C1067" t="str">
        <f t="shared" si="49"/>
        <v>IPL-2024</v>
      </c>
      <c r="D1067">
        <f t="shared" si="50"/>
        <v>2024</v>
      </c>
      <c r="E1067" s="1">
        <v>45408</v>
      </c>
      <c r="F1067" t="s">
        <v>304</v>
      </c>
      <c r="G1067" t="s">
        <v>12</v>
      </c>
      <c r="H1067" t="str">
        <f t="shared" si="48"/>
        <v>WIN</v>
      </c>
      <c r="I1067" t="s">
        <v>304</v>
      </c>
      <c r="J1067" t="s">
        <v>283</v>
      </c>
      <c r="K1067" t="s">
        <v>340</v>
      </c>
    </row>
    <row r="1068" spans="1:11" x14ac:dyDescent="0.3">
      <c r="A1068" t="s">
        <v>319</v>
      </c>
      <c r="B1068" t="s">
        <v>22</v>
      </c>
      <c r="C1068" t="str">
        <f t="shared" si="49"/>
        <v>IPL-2024</v>
      </c>
      <c r="D1068">
        <f t="shared" si="50"/>
        <v>2024</v>
      </c>
      <c r="E1068" s="1">
        <v>45409</v>
      </c>
      <c r="F1068" t="s">
        <v>22</v>
      </c>
      <c r="G1068" t="s">
        <v>12</v>
      </c>
      <c r="H1068" t="str">
        <f t="shared" si="48"/>
        <v>WIN</v>
      </c>
      <c r="I1068" t="s">
        <v>22</v>
      </c>
      <c r="J1068" t="s">
        <v>196</v>
      </c>
      <c r="K1068" t="s">
        <v>345</v>
      </c>
    </row>
    <row r="1069" spans="1:11" x14ac:dyDescent="0.3">
      <c r="A1069" t="s">
        <v>281</v>
      </c>
      <c r="B1069" t="s">
        <v>25</v>
      </c>
      <c r="C1069" t="str">
        <f t="shared" si="49"/>
        <v>IPL-2024</v>
      </c>
      <c r="D1069">
        <f t="shared" si="50"/>
        <v>2024</v>
      </c>
      <c r="E1069" s="1">
        <v>45409</v>
      </c>
      <c r="F1069" t="s">
        <v>25</v>
      </c>
      <c r="G1069" t="s">
        <v>12</v>
      </c>
      <c r="H1069" t="str">
        <f t="shared" si="48"/>
        <v>LOSS</v>
      </c>
      <c r="I1069" t="s">
        <v>281</v>
      </c>
      <c r="J1069" t="s">
        <v>377</v>
      </c>
      <c r="K1069" t="s">
        <v>309</v>
      </c>
    </row>
    <row r="1070" spans="1:11" x14ac:dyDescent="0.3">
      <c r="A1070" t="s">
        <v>17</v>
      </c>
      <c r="B1070" t="s">
        <v>187</v>
      </c>
      <c r="C1070" t="str">
        <f t="shared" si="49"/>
        <v>IPL-2024</v>
      </c>
      <c r="D1070">
        <f t="shared" si="50"/>
        <v>2024</v>
      </c>
      <c r="E1070" s="1">
        <v>45410</v>
      </c>
      <c r="F1070" t="s">
        <v>187</v>
      </c>
      <c r="G1070" t="s">
        <v>12</v>
      </c>
      <c r="H1070" t="str">
        <f t="shared" si="48"/>
        <v>LOSS</v>
      </c>
      <c r="I1070" t="s">
        <v>17</v>
      </c>
      <c r="J1070" t="s">
        <v>300</v>
      </c>
      <c r="K1070" t="s">
        <v>302</v>
      </c>
    </row>
    <row r="1071" spans="1:11" x14ac:dyDescent="0.3">
      <c r="A1071" t="s">
        <v>320</v>
      </c>
      <c r="B1071" t="s">
        <v>367</v>
      </c>
      <c r="C1071" t="str">
        <f t="shared" si="49"/>
        <v>IPL-2024</v>
      </c>
      <c r="D1071">
        <f t="shared" si="50"/>
        <v>2024</v>
      </c>
      <c r="E1071" s="1">
        <v>45410</v>
      </c>
      <c r="F1071" t="s">
        <v>367</v>
      </c>
      <c r="G1071" t="s">
        <v>12</v>
      </c>
      <c r="H1071" t="str">
        <f t="shared" si="48"/>
        <v>WIN</v>
      </c>
      <c r="I1071" t="s">
        <v>367</v>
      </c>
      <c r="J1071" t="s">
        <v>378</v>
      </c>
      <c r="K1071" t="s">
        <v>308</v>
      </c>
    </row>
    <row r="1072" spans="1:11" x14ac:dyDescent="0.3">
      <c r="A1072" t="s">
        <v>281</v>
      </c>
      <c r="B1072" t="s">
        <v>11</v>
      </c>
      <c r="C1072" t="str">
        <f t="shared" si="49"/>
        <v>IPL-2024</v>
      </c>
      <c r="D1072">
        <f t="shared" si="50"/>
        <v>2024</v>
      </c>
      <c r="E1072" s="1">
        <v>45411</v>
      </c>
      <c r="F1072" t="s">
        <v>281</v>
      </c>
      <c r="G1072" t="s">
        <v>18</v>
      </c>
      <c r="H1072" t="str">
        <f t="shared" si="48"/>
        <v>LOSS</v>
      </c>
      <c r="I1072" t="s">
        <v>11</v>
      </c>
      <c r="J1072" t="s">
        <v>298</v>
      </c>
      <c r="K1072" t="s">
        <v>340</v>
      </c>
    </row>
    <row r="1073" spans="1:11" x14ac:dyDescent="0.3">
      <c r="A1073" t="s">
        <v>25</v>
      </c>
      <c r="B1073" t="s">
        <v>319</v>
      </c>
      <c r="C1073" t="str">
        <f t="shared" si="49"/>
        <v>IPL-2024</v>
      </c>
      <c r="D1073">
        <f t="shared" si="50"/>
        <v>2024</v>
      </c>
      <c r="E1073" s="1">
        <v>45412</v>
      </c>
      <c r="F1073" t="s">
        <v>319</v>
      </c>
      <c r="G1073" t="s">
        <v>12</v>
      </c>
      <c r="H1073" t="str">
        <f t="shared" si="48"/>
        <v>WIN</v>
      </c>
      <c r="I1073" t="s">
        <v>319</v>
      </c>
      <c r="J1073" t="s">
        <v>243</v>
      </c>
      <c r="K1073" t="s">
        <v>345</v>
      </c>
    </row>
    <row r="1074" spans="1:11" x14ac:dyDescent="0.3">
      <c r="A1074" t="s">
        <v>17</v>
      </c>
      <c r="B1074" t="s">
        <v>304</v>
      </c>
      <c r="C1074" t="str">
        <f t="shared" si="49"/>
        <v>IPL-2024</v>
      </c>
      <c r="D1074">
        <f t="shared" si="50"/>
        <v>2024</v>
      </c>
      <c r="E1074" s="1">
        <v>45413</v>
      </c>
      <c r="F1074" t="s">
        <v>304</v>
      </c>
      <c r="G1074" t="s">
        <v>12</v>
      </c>
      <c r="H1074" t="str">
        <f t="shared" si="48"/>
        <v>WIN</v>
      </c>
      <c r="I1074" t="s">
        <v>304</v>
      </c>
      <c r="J1074" t="s">
        <v>310</v>
      </c>
      <c r="K1074" t="s">
        <v>302</v>
      </c>
    </row>
    <row r="1075" spans="1:11" x14ac:dyDescent="0.3">
      <c r="A1075" t="s">
        <v>187</v>
      </c>
      <c r="B1075" t="s">
        <v>22</v>
      </c>
      <c r="C1075" t="str">
        <f t="shared" si="49"/>
        <v>IPL-2024</v>
      </c>
      <c r="D1075">
        <f t="shared" si="50"/>
        <v>2024</v>
      </c>
      <c r="E1075" s="1">
        <v>45414</v>
      </c>
      <c r="F1075" t="s">
        <v>187</v>
      </c>
      <c r="G1075" t="s">
        <v>18</v>
      </c>
      <c r="H1075" t="str">
        <f t="shared" si="48"/>
        <v>WIN</v>
      </c>
      <c r="I1075" t="s">
        <v>187</v>
      </c>
      <c r="J1075" t="s">
        <v>213</v>
      </c>
      <c r="K1075" t="s">
        <v>346</v>
      </c>
    </row>
    <row r="1076" spans="1:11" x14ac:dyDescent="0.3">
      <c r="A1076" t="s">
        <v>11</v>
      </c>
      <c r="B1076" t="s">
        <v>25</v>
      </c>
      <c r="C1076" t="str">
        <f t="shared" si="49"/>
        <v>IPL-2024</v>
      </c>
      <c r="D1076">
        <f t="shared" si="50"/>
        <v>2024</v>
      </c>
      <c r="E1076" s="1">
        <v>45415</v>
      </c>
      <c r="F1076" t="s">
        <v>25</v>
      </c>
      <c r="G1076" t="s">
        <v>12</v>
      </c>
      <c r="H1076" t="str">
        <f t="shared" si="48"/>
        <v>LOSS</v>
      </c>
      <c r="I1076" t="s">
        <v>11</v>
      </c>
      <c r="J1076" t="s">
        <v>316</v>
      </c>
      <c r="K1076" t="s">
        <v>303</v>
      </c>
    </row>
    <row r="1077" spans="1:11" x14ac:dyDescent="0.3">
      <c r="A1077" t="s">
        <v>320</v>
      </c>
      <c r="B1077" t="s">
        <v>367</v>
      </c>
      <c r="C1077" t="str">
        <f t="shared" si="49"/>
        <v>IPL-2024</v>
      </c>
      <c r="D1077">
        <f t="shared" si="50"/>
        <v>2024</v>
      </c>
      <c r="E1077" s="1">
        <v>45416</v>
      </c>
      <c r="F1077" t="s">
        <v>367</v>
      </c>
      <c r="G1077" t="s">
        <v>12</v>
      </c>
      <c r="H1077" t="str">
        <f t="shared" si="48"/>
        <v>WIN</v>
      </c>
      <c r="I1077" t="s">
        <v>367</v>
      </c>
      <c r="J1077" t="s">
        <v>261</v>
      </c>
      <c r="K1077" t="s">
        <v>347</v>
      </c>
    </row>
    <row r="1078" spans="1:11" x14ac:dyDescent="0.3">
      <c r="A1078" t="s">
        <v>11</v>
      </c>
      <c r="B1078" t="s">
        <v>319</v>
      </c>
      <c r="C1078" t="str">
        <f t="shared" si="49"/>
        <v>IPL-2024</v>
      </c>
      <c r="D1078">
        <f t="shared" si="50"/>
        <v>2024</v>
      </c>
      <c r="E1078" s="1">
        <v>45417</v>
      </c>
      <c r="F1078" t="s">
        <v>319</v>
      </c>
      <c r="G1078" t="s">
        <v>12</v>
      </c>
      <c r="H1078" t="str">
        <f t="shared" si="48"/>
        <v>LOSS</v>
      </c>
      <c r="I1078" t="s">
        <v>11</v>
      </c>
      <c r="J1078" t="s">
        <v>176</v>
      </c>
      <c r="K1078" t="s">
        <v>345</v>
      </c>
    </row>
    <row r="1079" spans="1:11" x14ac:dyDescent="0.3">
      <c r="A1079" t="s">
        <v>17</v>
      </c>
      <c r="B1079" t="s">
        <v>304</v>
      </c>
      <c r="C1079" t="str">
        <f t="shared" si="49"/>
        <v>IPL-2024</v>
      </c>
      <c r="D1079">
        <f t="shared" si="50"/>
        <v>2024</v>
      </c>
      <c r="E1079" s="1">
        <v>45417</v>
      </c>
      <c r="F1079" t="s">
        <v>304</v>
      </c>
      <c r="G1079" t="s">
        <v>12</v>
      </c>
      <c r="H1079" t="str">
        <f t="shared" si="48"/>
        <v>LOSS</v>
      </c>
      <c r="I1079" t="s">
        <v>17</v>
      </c>
      <c r="J1079" t="s">
        <v>167</v>
      </c>
      <c r="K1079" t="s">
        <v>365</v>
      </c>
    </row>
    <row r="1080" spans="1:11" x14ac:dyDescent="0.3">
      <c r="A1080" t="s">
        <v>187</v>
      </c>
      <c r="B1080" t="s">
        <v>25</v>
      </c>
      <c r="C1080" t="str">
        <f t="shared" si="49"/>
        <v>IPL-2024</v>
      </c>
      <c r="D1080">
        <f t="shared" si="50"/>
        <v>2024</v>
      </c>
      <c r="E1080" s="1">
        <v>45418</v>
      </c>
      <c r="F1080" t="s">
        <v>25</v>
      </c>
      <c r="G1080" t="s">
        <v>12</v>
      </c>
      <c r="H1080" t="str">
        <f t="shared" si="48"/>
        <v>WIN</v>
      </c>
      <c r="I1080" t="s">
        <v>25</v>
      </c>
      <c r="J1080" t="s">
        <v>238</v>
      </c>
      <c r="K1080" t="s">
        <v>303</v>
      </c>
    </row>
    <row r="1081" spans="1:11" x14ac:dyDescent="0.3">
      <c r="A1081" t="s">
        <v>281</v>
      </c>
      <c r="B1081" t="s">
        <v>22</v>
      </c>
      <c r="C1081" t="str">
        <f t="shared" si="49"/>
        <v>IPL-2024</v>
      </c>
      <c r="D1081">
        <f t="shared" si="50"/>
        <v>2024</v>
      </c>
      <c r="E1081" s="1">
        <v>45419</v>
      </c>
      <c r="F1081" t="s">
        <v>22</v>
      </c>
      <c r="G1081" t="s">
        <v>12</v>
      </c>
      <c r="H1081" t="str">
        <f t="shared" si="48"/>
        <v>LOSS</v>
      </c>
      <c r="I1081" t="s">
        <v>281</v>
      </c>
      <c r="J1081" t="s">
        <v>278</v>
      </c>
      <c r="K1081" t="s">
        <v>309</v>
      </c>
    </row>
    <row r="1082" spans="1:11" x14ac:dyDescent="0.3">
      <c r="A1082" t="s">
        <v>319</v>
      </c>
      <c r="B1082" t="s">
        <v>187</v>
      </c>
      <c r="C1082" t="str">
        <f t="shared" si="49"/>
        <v>IPL-2024</v>
      </c>
      <c r="D1082">
        <f t="shared" si="50"/>
        <v>2024</v>
      </c>
      <c r="E1082" s="1">
        <v>45420</v>
      </c>
      <c r="F1082" t="s">
        <v>319</v>
      </c>
      <c r="G1082" t="s">
        <v>18</v>
      </c>
      <c r="H1082" t="str">
        <f t="shared" si="48"/>
        <v>LOSS</v>
      </c>
      <c r="I1082" t="s">
        <v>187</v>
      </c>
      <c r="J1082" t="s">
        <v>375</v>
      </c>
      <c r="K1082" t="s">
        <v>346</v>
      </c>
    </row>
    <row r="1083" spans="1:11" x14ac:dyDescent="0.3">
      <c r="A1083" t="s">
        <v>367</v>
      </c>
      <c r="B1083" t="s">
        <v>304</v>
      </c>
      <c r="C1083" t="str">
        <f t="shared" si="49"/>
        <v>IPL-2024</v>
      </c>
      <c r="D1083">
        <f t="shared" si="50"/>
        <v>2024</v>
      </c>
      <c r="E1083" s="1">
        <v>45421</v>
      </c>
      <c r="F1083" t="s">
        <v>304</v>
      </c>
      <c r="G1083" t="s">
        <v>12</v>
      </c>
      <c r="H1083" t="str">
        <f t="shared" si="48"/>
        <v>LOSS</v>
      </c>
      <c r="I1083" t="s">
        <v>367</v>
      </c>
      <c r="J1083" t="s">
        <v>151</v>
      </c>
      <c r="K1083" t="s">
        <v>365</v>
      </c>
    </row>
    <row r="1084" spans="1:11" x14ac:dyDescent="0.3">
      <c r="A1084" t="s">
        <v>320</v>
      </c>
      <c r="B1084" t="s">
        <v>17</v>
      </c>
      <c r="C1084" t="str">
        <f t="shared" si="49"/>
        <v>IPL-2024</v>
      </c>
      <c r="D1084">
        <f t="shared" si="50"/>
        <v>2024</v>
      </c>
      <c r="E1084" s="1">
        <v>45422</v>
      </c>
      <c r="F1084" t="s">
        <v>17</v>
      </c>
      <c r="G1084" t="s">
        <v>12</v>
      </c>
      <c r="H1084" t="str">
        <f t="shared" si="48"/>
        <v>LOSS</v>
      </c>
      <c r="I1084" t="s">
        <v>320</v>
      </c>
      <c r="J1084" t="s">
        <v>292</v>
      </c>
      <c r="K1084" t="s">
        <v>308</v>
      </c>
    </row>
    <row r="1085" spans="1:11" x14ac:dyDescent="0.3">
      <c r="A1085" t="s">
        <v>11</v>
      </c>
      <c r="B1085" t="s">
        <v>25</v>
      </c>
      <c r="C1085" t="str">
        <f t="shared" si="49"/>
        <v>IPL-2024</v>
      </c>
      <c r="D1085">
        <f t="shared" si="50"/>
        <v>2024</v>
      </c>
      <c r="E1085" s="1">
        <v>45423</v>
      </c>
      <c r="F1085" t="s">
        <v>25</v>
      </c>
      <c r="G1085" t="s">
        <v>12</v>
      </c>
      <c r="H1085" t="str">
        <f t="shared" si="48"/>
        <v>LOSS</v>
      </c>
      <c r="I1085" t="s">
        <v>11</v>
      </c>
      <c r="J1085" t="s">
        <v>298</v>
      </c>
      <c r="K1085" t="s">
        <v>340</v>
      </c>
    </row>
    <row r="1086" spans="1:11" x14ac:dyDescent="0.3">
      <c r="A1086" t="s">
        <v>367</v>
      </c>
      <c r="B1086" t="s">
        <v>281</v>
      </c>
      <c r="C1086" t="str">
        <f t="shared" si="49"/>
        <v>IPL-2024</v>
      </c>
      <c r="D1086">
        <f t="shared" si="50"/>
        <v>2024</v>
      </c>
      <c r="E1086" s="1">
        <v>45424</v>
      </c>
      <c r="F1086" t="s">
        <v>281</v>
      </c>
      <c r="G1086" t="s">
        <v>12</v>
      </c>
      <c r="H1086" t="str">
        <f t="shared" si="48"/>
        <v>LOSS</v>
      </c>
      <c r="I1086" t="s">
        <v>367</v>
      </c>
      <c r="J1086" t="s">
        <v>354</v>
      </c>
      <c r="K1086" t="s">
        <v>347</v>
      </c>
    </row>
    <row r="1087" spans="1:11" x14ac:dyDescent="0.3">
      <c r="A1087" t="s">
        <v>22</v>
      </c>
      <c r="B1087" t="s">
        <v>17</v>
      </c>
      <c r="C1087" t="str">
        <f t="shared" si="49"/>
        <v>IPL-2024</v>
      </c>
      <c r="D1087">
        <f t="shared" si="50"/>
        <v>2024</v>
      </c>
      <c r="E1087" s="1">
        <v>45424</v>
      </c>
      <c r="F1087" t="s">
        <v>22</v>
      </c>
      <c r="G1087" t="s">
        <v>18</v>
      </c>
      <c r="H1087" t="str">
        <f t="shared" si="48"/>
        <v>LOSS</v>
      </c>
      <c r="I1087" t="s">
        <v>17</v>
      </c>
      <c r="J1087" t="s">
        <v>379</v>
      </c>
      <c r="K1087" t="s">
        <v>302</v>
      </c>
    </row>
    <row r="1088" spans="1:11" x14ac:dyDescent="0.3">
      <c r="A1088" t="s">
        <v>281</v>
      </c>
      <c r="B1088" t="s">
        <v>319</v>
      </c>
      <c r="C1088" t="str">
        <f t="shared" si="49"/>
        <v>IPL-2024</v>
      </c>
      <c r="D1088">
        <f t="shared" si="50"/>
        <v>2024</v>
      </c>
      <c r="E1088" s="1">
        <v>45426</v>
      </c>
      <c r="F1088" t="s">
        <v>319</v>
      </c>
      <c r="G1088" t="s">
        <v>12</v>
      </c>
      <c r="H1088" t="str">
        <f t="shared" si="48"/>
        <v>LOSS</v>
      </c>
      <c r="I1088" t="s">
        <v>281</v>
      </c>
      <c r="J1088" t="s">
        <v>152</v>
      </c>
      <c r="K1088" t="s">
        <v>309</v>
      </c>
    </row>
    <row r="1089" spans="1:11" x14ac:dyDescent="0.3">
      <c r="A1089" t="s">
        <v>22</v>
      </c>
      <c r="B1089" t="s">
        <v>304</v>
      </c>
      <c r="C1089" t="str">
        <f t="shared" si="49"/>
        <v>IPL-2024</v>
      </c>
      <c r="D1089">
        <f t="shared" si="50"/>
        <v>2024</v>
      </c>
      <c r="E1089" s="1">
        <v>45427</v>
      </c>
      <c r="F1089" t="s">
        <v>22</v>
      </c>
      <c r="G1089" t="s">
        <v>18</v>
      </c>
      <c r="H1089" t="str">
        <f t="shared" si="48"/>
        <v>LOSS</v>
      </c>
      <c r="I1089" t="s">
        <v>304</v>
      </c>
      <c r="J1089" t="s">
        <v>284</v>
      </c>
      <c r="K1089" t="s">
        <v>350</v>
      </c>
    </row>
    <row r="1090" spans="1:11" x14ac:dyDescent="0.3">
      <c r="A1090" t="s">
        <v>319</v>
      </c>
      <c r="B1090" t="s">
        <v>25</v>
      </c>
      <c r="C1090" t="str">
        <f t="shared" si="49"/>
        <v>IPL-2024</v>
      </c>
      <c r="D1090">
        <f t="shared" si="50"/>
        <v>2024</v>
      </c>
      <c r="E1090" s="1">
        <v>45429</v>
      </c>
      <c r="F1090" t="s">
        <v>25</v>
      </c>
      <c r="G1090" t="s">
        <v>12</v>
      </c>
      <c r="H1090" t="str">
        <f t="shared" ref="H1090:H1153" si="51">IF(F1090=I1090,"WIN","LOSS")</f>
        <v>LOSS</v>
      </c>
      <c r="I1090" t="s">
        <v>319</v>
      </c>
      <c r="J1090" t="s">
        <v>351</v>
      </c>
      <c r="K1090" t="s">
        <v>303</v>
      </c>
    </row>
    <row r="1091" spans="1:11" x14ac:dyDescent="0.3">
      <c r="A1091" t="s">
        <v>367</v>
      </c>
      <c r="B1091" t="s">
        <v>17</v>
      </c>
      <c r="C1091" t="str">
        <f t="shared" ref="C1091:C1154" si="52">_xlfn.CONCAT("IPL-",D1091)</f>
        <v>IPL-2024</v>
      </c>
      <c r="D1091">
        <f t="shared" ref="D1091:D1154" si="53">YEAR(E1091)</f>
        <v>2024</v>
      </c>
      <c r="E1091" s="1">
        <v>45430</v>
      </c>
      <c r="F1091" t="s">
        <v>17</v>
      </c>
      <c r="G1091" t="s">
        <v>12</v>
      </c>
      <c r="H1091" t="str">
        <f t="shared" si="51"/>
        <v>LOSS</v>
      </c>
      <c r="I1091" t="s">
        <v>367</v>
      </c>
      <c r="J1091" t="s">
        <v>172</v>
      </c>
      <c r="K1091" t="s">
        <v>347</v>
      </c>
    </row>
    <row r="1092" spans="1:11" x14ac:dyDescent="0.3">
      <c r="A1092" t="s">
        <v>304</v>
      </c>
      <c r="B1092" t="s">
        <v>187</v>
      </c>
      <c r="C1092" t="str">
        <f t="shared" si="52"/>
        <v>IPL-2024</v>
      </c>
      <c r="D1092">
        <f t="shared" si="53"/>
        <v>2024</v>
      </c>
      <c r="E1092" s="1">
        <v>45431</v>
      </c>
      <c r="F1092" t="s">
        <v>304</v>
      </c>
      <c r="G1092" t="s">
        <v>18</v>
      </c>
      <c r="H1092" t="str">
        <f t="shared" si="51"/>
        <v>LOSS</v>
      </c>
      <c r="I1092" t="s">
        <v>187</v>
      </c>
      <c r="J1092" t="s">
        <v>326</v>
      </c>
      <c r="K1092" t="s">
        <v>346</v>
      </c>
    </row>
    <row r="1093" spans="1:11" x14ac:dyDescent="0.3">
      <c r="A1093" t="s">
        <v>187</v>
      </c>
      <c r="B1093" t="s">
        <v>11</v>
      </c>
      <c r="C1093" t="str">
        <f t="shared" si="52"/>
        <v>IPL-2024</v>
      </c>
      <c r="D1093">
        <f t="shared" si="53"/>
        <v>2024</v>
      </c>
      <c r="E1093" s="1">
        <v>45433</v>
      </c>
      <c r="F1093" t="s">
        <v>187</v>
      </c>
      <c r="G1093" t="s">
        <v>18</v>
      </c>
      <c r="H1093" t="str">
        <f t="shared" si="51"/>
        <v>LOSS</v>
      </c>
      <c r="I1093" t="s">
        <v>11</v>
      </c>
      <c r="J1093" t="s">
        <v>223</v>
      </c>
      <c r="K1093" t="s">
        <v>308</v>
      </c>
    </row>
    <row r="1094" spans="1:11" x14ac:dyDescent="0.3">
      <c r="A1094" t="s">
        <v>367</v>
      </c>
      <c r="B1094" t="s">
        <v>22</v>
      </c>
      <c r="C1094" t="str">
        <f t="shared" si="52"/>
        <v>IPL-2024</v>
      </c>
      <c r="D1094">
        <f t="shared" si="53"/>
        <v>2024</v>
      </c>
      <c r="E1094" s="1">
        <v>45434</v>
      </c>
      <c r="F1094" t="s">
        <v>22</v>
      </c>
      <c r="G1094" t="s">
        <v>12</v>
      </c>
      <c r="H1094" t="str">
        <f t="shared" si="51"/>
        <v>WIN</v>
      </c>
      <c r="I1094" t="s">
        <v>22</v>
      </c>
      <c r="J1094" t="s">
        <v>133</v>
      </c>
      <c r="K1094" t="s">
        <v>308</v>
      </c>
    </row>
    <row r="1095" spans="1:11" x14ac:dyDescent="0.3">
      <c r="A1095" t="s">
        <v>187</v>
      </c>
      <c r="B1095" t="s">
        <v>22</v>
      </c>
      <c r="C1095" t="str">
        <f t="shared" si="52"/>
        <v>IPL-2024</v>
      </c>
      <c r="D1095">
        <f t="shared" si="53"/>
        <v>2024</v>
      </c>
      <c r="E1095" s="1">
        <v>45436</v>
      </c>
      <c r="F1095" t="s">
        <v>22</v>
      </c>
      <c r="G1095" t="s">
        <v>12</v>
      </c>
      <c r="H1095" t="str">
        <f t="shared" si="51"/>
        <v>LOSS</v>
      </c>
      <c r="I1095" t="s">
        <v>187</v>
      </c>
      <c r="J1095" t="s">
        <v>380</v>
      </c>
      <c r="K1095" t="s">
        <v>302</v>
      </c>
    </row>
    <row r="1096" spans="1:11" x14ac:dyDescent="0.3">
      <c r="A1096" t="s">
        <v>187</v>
      </c>
      <c r="B1096" t="s">
        <v>11</v>
      </c>
      <c r="C1096" t="str">
        <f t="shared" si="52"/>
        <v>IPL-2024</v>
      </c>
      <c r="D1096">
        <f t="shared" si="53"/>
        <v>2024</v>
      </c>
      <c r="E1096" s="1">
        <v>45438</v>
      </c>
      <c r="F1096" t="s">
        <v>187</v>
      </c>
      <c r="G1096" t="s">
        <v>18</v>
      </c>
      <c r="H1096" t="str">
        <f t="shared" si="51"/>
        <v>LOSS</v>
      </c>
      <c r="I1096" t="s">
        <v>11</v>
      </c>
      <c r="J1096" t="s">
        <v>223</v>
      </c>
      <c r="K1096" t="s">
        <v>302</v>
      </c>
    </row>
    <row r="1097" spans="1:11" x14ac:dyDescent="0.3">
      <c r="A1097" t="s">
        <v>11</v>
      </c>
      <c r="B1097" t="s">
        <v>367</v>
      </c>
      <c r="C1097" t="str">
        <f t="shared" si="52"/>
        <v>IPL-2025</v>
      </c>
      <c r="D1097">
        <f t="shared" si="53"/>
        <v>2025</v>
      </c>
      <c r="E1097" s="1">
        <v>45738</v>
      </c>
      <c r="F1097" t="s">
        <v>367</v>
      </c>
      <c r="G1097" t="s">
        <v>12</v>
      </c>
      <c r="H1097" t="str">
        <f t="shared" si="51"/>
        <v>WIN</v>
      </c>
      <c r="I1097" t="s">
        <v>367</v>
      </c>
      <c r="J1097" t="s">
        <v>245</v>
      </c>
      <c r="K1097" t="s">
        <v>340</v>
      </c>
    </row>
    <row r="1098" spans="1:11" x14ac:dyDescent="0.3">
      <c r="A1098" t="s">
        <v>25</v>
      </c>
      <c r="B1098" t="s">
        <v>17</v>
      </c>
      <c r="C1098" t="str">
        <f t="shared" si="52"/>
        <v>IPL-2025</v>
      </c>
      <c r="D1098">
        <f t="shared" si="53"/>
        <v>2025</v>
      </c>
      <c r="E1098" s="1">
        <v>45739</v>
      </c>
      <c r="F1098" t="s">
        <v>17</v>
      </c>
      <c r="G1098" t="s">
        <v>12</v>
      </c>
      <c r="H1098" t="str">
        <f t="shared" si="51"/>
        <v>WIN</v>
      </c>
      <c r="I1098" t="s">
        <v>17</v>
      </c>
      <c r="J1098" t="s">
        <v>381</v>
      </c>
      <c r="K1098" t="s">
        <v>302</v>
      </c>
    </row>
    <row r="1099" spans="1:11" x14ac:dyDescent="0.3">
      <c r="A1099" t="s">
        <v>187</v>
      </c>
      <c r="B1099" t="s">
        <v>22</v>
      </c>
      <c r="C1099" t="str">
        <f t="shared" si="52"/>
        <v>IPL-2025</v>
      </c>
      <c r="D1099">
        <f t="shared" si="53"/>
        <v>2025</v>
      </c>
      <c r="E1099" s="1">
        <v>45739</v>
      </c>
      <c r="F1099" t="s">
        <v>22</v>
      </c>
      <c r="G1099" t="s">
        <v>12</v>
      </c>
      <c r="H1099" t="str">
        <f t="shared" si="51"/>
        <v>LOSS</v>
      </c>
      <c r="I1099" t="s">
        <v>187</v>
      </c>
      <c r="J1099" t="s">
        <v>277</v>
      </c>
      <c r="K1099" t="s">
        <v>346</v>
      </c>
    </row>
    <row r="1100" spans="1:11" x14ac:dyDescent="0.3">
      <c r="A1100" t="s">
        <v>319</v>
      </c>
      <c r="B1100" t="s">
        <v>281</v>
      </c>
      <c r="C1100" t="str">
        <f t="shared" si="52"/>
        <v>IPL-2025</v>
      </c>
      <c r="D1100">
        <f t="shared" si="53"/>
        <v>2025</v>
      </c>
      <c r="E1100" s="1">
        <v>45740</v>
      </c>
      <c r="F1100" t="s">
        <v>281</v>
      </c>
      <c r="G1100" t="s">
        <v>12</v>
      </c>
      <c r="H1100" t="str">
        <f t="shared" si="51"/>
        <v>WIN</v>
      </c>
      <c r="I1100" t="s">
        <v>281</v>
      </c>
      <c r="J1100" t="s">
        <v>382</v>
      </c>
      <c r="K1100" t="s">
        <v>370</v>
      </c>
    </row>
    <row r="1101" spans="1:11" x14ac:dyDescent="0.3">
      <c r="A1101" t="s">
        <v>304</v>
      </c>
      <c r="B1101" t="s">
        <v>320</v>
      </c>
      <c r="C1101" t="str">
        <f t="shared" si="52"/>
        <v>IPL-2025</v>
      </c>
      <c r="D1101">
        <f t="shared" si="53"/>
        <v>2025</v>
      </c>
      <c r="E1101" s="1">
        <v>45741</v>
      </c>
      <c r="F1101" t="s">
        <v>320</v>
      </c>
      <c r="G1101" t="s">
        <v>12</v>
      </c>
      <c r="H1101" t="str">
        <f t="shared" si="51"/>
        <v>LOSS</v>
      </c>
      <c r="I1101" t="s">
        <v>304</v>
      </c>
      <c r="J1101" t="s">
        <v>222</v>
      </c>
      <c r="K1101" t="s">
        <v>308</v>
      </c>
    </row>
    <row r="1102" spans="1:11" x14ac:dyDescent="0.3">
      <c r="A1102" t="s">
        <v>22</v>
      </c>
      <c r="B1102" t="s">
        <v>11</v>
      </c>
      <c r="C1102" t="str">
        <f t="shared" si="52"/>
        <v>IPL-2025</v>
      </c>
      <c r="D1102">
        <f t="shared" si="53"/>
        <v>2025</v>
      </c>
      <c r="E1102" s="1">
        <v>45742</v>
      </c>
      <c r="F1102" t="s">
        <v>11</v>
      </c>
      <c r="G1102" t="s">
        <v>12</v>
      </c>
      <c r="H1102" t="str">
        <f t="shared" si="51"/>
        <v>WIN</v>
      </c>
      <c r="I1102" t="s">
        <v>11</v>
      </c>
      <c r="J1102" t="s">
        <v>236</v>
      </c>
      <c r="K1102" t="s">
        <v>350</v>
      </c>
    </row>
    <row r="1103" spans="1:11" x14ac:dyDescent="0.3">
      <c r="A1103" t="s">
        <v>187</v>
      </c>
      <c r="B1103" t="s">
        <v>319</v>
      </c>
      <c r="C1103" t="str">
        <f t="shared" si="52"/>
        <v>IPL-2025</v>
      </c>
      <c r="D1103">
        <f t="shared" si="53"/>
        <v>2025</v>
      </c>
      <c r="E1103" s="1">
        <v>45743</v>
      </c>
      <c r="F1103" t="s">
        <v>319</v>
      </c>
      <c r="G1103" t="s">
        <v>12</v>
      </c>
      <c r="H1103" t="str">
        <f t="shared" si="51"/>
        <v>WIN</v>
      </c>
      <c r="I1103" t="s">
        <v>319</v>
      </c>
      <c r="J1103" t="s">
        <v>339</v>
      </c>
      <c r="K1103" t="s">
        <v>346</v>
      </c>
    </row>
    <row r="1104" spans="1:11" x14ac:dyDescent="0.3">
      <c r="A1104" t="s">
        <v>367</v>
      </c>
      <c r="B1104" t="s">
        <v>17</v>
      </c>
      <c r="C1104" t="str">
        <f t="shared" si="52"/>
        <v>IPL-2025</v>
      </c>
      <c r="D1104">
        <f t="shared" si="53"/>
        <v>2025</v>
      </c>
      <c r="E1104" s="1">
        <v>45744</v>
      </c>
      <c r="F1104" t="s">
        <v>17</v>
      </c>
      <c r="G1104" t="s">
        <v>12</v>
      </c>
      <c r="H1104" t="str">
        <f t="shared" si="51"/>
        <v>LOSS</v>
      </c>
      <c r="I1104" t="s">
        <v>367</v>
      </c>
      <c r="J1104" t="s">
        <v>341</v>
      </c>
      <c r="K1104" t="s">
        <v>302</v>
      </c>
    </row>
    <row r="1105" spans="1:11" x14ac:dyDescent="0.3">
      <c r="A1105" t="s">
        <v>320</v>
      </c>
      <c r="B1105" t="s">
        <v>25</v>
      </c>
      <c r="C1105" t="str">
        <f t="shared" si="52"/>
        <v>IPL-2025</v>
      </c>
      <c r="D1105">
        <f t="shared" si="53"/>
        <v>2025</v>
      </c>
      <c r="E1105" s="1">
        <v>45745</v>
      </c>
      <c r="F1105" t="s">
        <v>25</v>
      </c>
      <c r="G1105" t="s">
        <v>12</v>
      </c>
      <c r="H1105" t="str">
        <f t="shared" si="51"/>
        <v>LOSS</v>
      </c>
      <c r="I1105" t="s">
        <v>320</v>
      </c>
      <c r="J1105" t="s">
        <v>383</v>
      </c>
      <c r="K1105" t="s">
        <v>308</v>
      </c>
    </row>
    <row r="1106" spans="1:11" x14ac:dyDescent="0.3">
      <c r="A1106" t="s">
        <v>187</v>
      </c>
      <c r="B1106" t="s">
        <v>281</v>
      </c>
      <c r="C1106" t="str">
        <f t="shared" si="52"/>
        <v>IPL-2025</v>
      </c>
      <c r="D1106">
        <f t="shared" si="53"/>
        <v>2025</v>
      </c>
      <c r="E1106" s="1">
        <v>45746</v>
      </c>
      <c r="F1106" t="s">
        <v>187</v>
      </c>
      <c r="G1106" t="s">
        <v>18</v>
      </c>
      <c r="H1106" t="str">
        <f t="shared" si="51"/>
        <v>LOSS</v>
      </c>
      <c r="I1106" t="s">
        <v>281</v>
      </c>
      <c r="J1106" t="s">
        <v>223</v>
      </c>
      <c r="K1106" t="s">
        <v>370</v>
      </c>
    </row>
    <row r="1107" spans="1:11" x14ac:dyDescent="0.3">
      <c r="A1107" t="s">
        <v>22</v>
      </c>
      <c r="B1107" t="s">
        <v>17</v>
      </c>
      <c r="C1107" t="str">
        <f t="shared" si="52"/>
        <v>IPL-2025</v>
      </c>
      <c r="D1107">
        <f t="shared" si="53"/>
        <v>2025</v>
      </c>
      <c r="E1107" s="1">
        <v>45746</v>
      </c>
      <c r="F1107" t="s">
        <v>17</v>
      </c>
      <c r="G1107" t="s">
        <v>12</v>
      </c>
      <c r="H1107" t="str">
        <f t="shared" si="51"/>
        <v>LOSS</v>
      </c>
      <c r="I1107" t="s">
        <v>22</v>
      </c>
      <c r="J1107" t="s">
        <v>252</v>
      </c>
      <c r="K1107" t="s">
        <v>350</v>
      </c>
    </row>
    <row r="1108" spans="1:11" x14ac:dyDescent="0.3">
      <c r="A1108" t="s">
        <v>11</v>
      </c>
      <c r="B1108" t="s">
        <v>25</v>
      </c>
      <c r="C1108" t="str">
        <f t="shared" si="52"/>
        <v>IPL-2025</v>
      </c>
      <c r="D1108">
        <f t="shared" si="53"/>
        <v>2025</v>
      </c>
      <c r="E1108" s="1">
        <v>45747</v>
      </c>
      <c r="F1108" t="s">
        <v>25</v>
      </c>
      <c r="G1108" t="s">
        <v>12</v>
      </c>
      <c r="H1108" t="str">
        <f t="shared" si="51"/>
        <v>WIN</v>
      </c>
      <c r="I1108" t="s">
        <v>25</v>
      </c>
      <c r="J1108" t="s">
        <v>384</v>
      </c>
      <c r="K1108" t="s">
        <v>303</v>
      </c>
    </row>
    <row r="1109" spans="1:11" x14ac:dyDescent="0.3">
      <c r="A1109" t="s">
        <v>319</v>
      </c>
      <c r="B1109" t="s">
        <v>304</v>
      </c>
      <c r="C1109" t="str">
        <f t="shared" si="52"/>
        <v>IPL-2025</v>
      </c>
      <c r="D1109">
        <f t="shared" si="53"/>
        <v>2025</v>
      </c>
      <c r="E1109" s="1">
        <v>45748</v>
      </c>
      <c r="F1109" t="s">
        <v>304</v>
      </c>
      <c r="G1109" t="s">
        <v>12</v>
      </c>
      <c r="H1109" t="str">
        <f t="shared" si="51"/>
        <v>WIN</v>
      </c>
      <c r="I1109" t="s">
        <v>304</v>
      </c>
      <c r="J1109" t="s">
        <v>361</v>
      </c>
      <c r="K1109" t="s">
        <v>345</v>
      </c>
    </row>
    <row r="1110" spans="1:11" x14ac:dyDescent="0.3">
      <c r="A1110" t="s">
        <v>367</v>
      </c>
      <c r="B1110" t="s">
        <v>320</v>
      </c>
      <c r="C1110" t="str">
        <f t="shared" si="52"/>
        <v>IPL-2025</v>
      </c>
      <c r="D1110">
        <f t="shared" si="53"/>
        <v>2025</v>
      </c>
      <c r="E1110" s="1">
        <v>45749</v>
      </c>
      <c r="F1110" t="s">
        <v>320</v>
      </c>
      <c r="G1110" t="s">
        <v>12</v>
      </c>
      <c r="H1110" t="str">
        <f t="shared" si="51"/>
        <v>WIN</v>
      </c>
      <c r="I1110" t="s">
        <v>320</v>
      </c>
      <c r="J1110" t="s">
        <v>261</v>
      </c>
      <c r="K1110" t="s">
        <v>347</v>
      </c>
    </row>
    <row r="1111" spans="1:11" x14ac:dyDescent="0.3">
      <c r="A1111" t="s">
        <v>11</v>
      </c>
      <c r="B1111" t="s">
        <v>187</v>
      </c>
      <c r="C1111" t="str">
        <f t="shared" si="52"/>
        <v>IPL-2025</v>
      </c>
      <c r="D1111">
        <f t="shared" si="53"/>
        <v>2025</v>
      </c>
      <c r="E1111" s="1">
        <v>45750</v>
      </c>
      <c r="F1111" t="s">
        <v>187</v>
      </c>
      <c r="G1111" t="s">
        <v>12</v>
      </c>
      <c r="H1111" t="str">
        <f t="shared" si="51"/>
        <v>LOSS</v>
      </c>
      <c r="I1111" t="s">
        <v>11</v>
      </c>
      <c r="J1111" t="s">
        <v>385</v>
      </c>
      <c r="K1111" t="s">
        <v>340</v>
      </c>
    </row>
    <row r="1112" spans="1:11" x14ac:dyDescent="0.3">
      <c r="A1112" t="s">
        <v>319</v>
      </c>
      <c r="B1112" t="s">
        <v>25</v>
      </c>
      <c r="C1112" t="str">
        <f t="shared" si="52"/>
        <v>IPL-2025</v>
      </c>
      <c r="D1112">
        <f t="shared" si="53"/>
        <v>2025</v>
      </c>
      <c r="E1112" s="1">
        <v>45751</v>
      </c>
      <c r="F1112" t="s">
        <v>25</v>
      </c>
      <c r="G1112" t="s">
        <v>12</v>
      </c>
      <c r="H1112" t="str">
        <f t="shared" si="51"/>
        <v>LOSS</v>
      </c>
      <c r="I1112" t="s">
        <v>319</v>
      </c>
      <c r="J1112" t="s">
        <v>386</v>
      </c>
      <c r="K1112" t="s">
        <v>345</v>
      </c>
    </row>
    <row r="1113" spans="1:11" x14ac:dyDescent="0.3">
      <c r="A1113" t="s">
        <v>22</v>
      </c>
      <c r="B1113" t="s">
        <v>304</v>
      </c>
      <c r="C1113" t="str">
        <f t="shared" si="52"/>
        <v>IPL-2025</v>
      </c>
      <c r="D1113">
        <f t="shared" si="53"/>
        <v>2025</v>
      </c>
      <c r="E1113" s="1">
        <v>45752</v>
      </c>
      <c r="F1113" t="s">
        <v>304</v>
      </c>
      <c r="G1113" t="s">
        <v>12</v>
      </c>
      <c r="H1113" t="str">
        <f t="shared" si="51"/>
        <v>LOSS</v>
      </c>
      <c r="I1113" t="s">
        <v>22</v>
      </c>
      <c r="J1113" t="s">
        <v>272</v>
      </c>
      <c r="K1113" t="s">
        <v>368</v>
      </c>
    </row>
    <row r="1114" spans="1:11" x14ac:dyDescent="0.3">
      <c r="A1114" t="s">
        <v>281</v>
      </c>
      <c r="B1114" t="s">
        <v>17</v>
      </c>
      <c r="C1114" t="str">
        <f t="shared" si="52"/>
        <v>IPL-2025</v>
      </c>
      <c r="D1114">
        <f t="shared" si="53"/>
        <v>2025</v>
      </c>
      <c r="E1114" s="1">
        <v>45752</v>
      </c>
      <c r="F1114" t="s">
        <v>281</v>
      </c>
      <c r="G1114" t="s">
        <v>18</v>
      </c>
      <c r="H1114" t="str">
        <f t="shared" si="51"/>
        <v>WIN</v>
      </c>
      <c r="I1114" t="s">
        <v>281</v>
      </c>
      <c r="J1114" t="s">
        <v>265</v>
      </c>
      <c r="K1114" t="s">
        <v>302</v>
      </c>
    </row>
    <row r="1115" spans="1:11" x14ac:dyDescent="0.3">
      <c r="A1115" t="s">
        <v>187</v>
      </c>
      <c r="B1115" t="s">
        <v>320</v>
      </c>
      <c r="C1115" t="str">
        <f t="shared" si="52"/>
        <v>IPL-2025</v>
      </c>
      <c r="D1115">
        <f t="shared" si="53"/>
        <v>2025</v>
      </c>
      <c r="E1115" s="1">
        <v>45753</v>
      </c>
      <c r="F1115" t="s">
        <v>320</v>
      </c>
      <c r="G1115" t="s">
        <v>12</v>
      </c>
      <c r="H1115" t="str">
        <f t="shared" si="51"/>
        <v>WIN</v>
      </c>
      <c r="I1115" t="s">
        <v>320</v>
      </c>
      <c r="J1115" t="s">
        <v>261</v>
      </c>
      <c r="K1115" t="s">
        <v>346</v>
      </c>
    </row>
    <row r="1116" spans="1:11" x14ac:dyDescent="0.3">
      <c r="A1116" t="s">
        <v>367</v>
      </c>
      <c r="B1116" t="s">
        <v>25</v>
      </c>
      <c r="C1116" t="str">
        <f t="shared" si="52"/>
        <v>IPL-2025</v>
      </c>
      <c r="D1116">
        <f t="shared" si="53"/>
        <v>2025</v>
      </c>
      <c r="E1116" s="1">
        <v>45754</v>
      </c>
      <c r="F1116" t="s">
        <v>25</v>
      </c>
      <c r="G1116" t="s">
        <v>12</v>
      </c>
      <c r="H1116" t="str">
        <f t="shared" si="51"/>
        <v>LOSS</v>
      </c>
      <c r="I1116" t="s">
        <v>367</v>
      </c>
      <c r="J1116" t="s">
        <v>341</v>
      </c>
      <c r="K1116" t="s">
        <v>303</v>
      </c>
    </row>
    <row r="1117" spans="1:11" x14ac:dyDescent="0.3">
      <c r="A1117" t="s">
        <v>304</v>
      </c>
      <c r="B1117" t="s">
        <v>17</v>
      </c>
      <c r="C1117" t="str">
        <f t="shared" si="52"/>
        <v>IPL-2025</v>
      </c>
      <c r="D1117">
        <f t="shared" si="53"/>
        <v>2025</v>
      </c>
      <c r="E1117" s="1">
        <v>45755</v>
      </c>
      <c r="F1117" t="s">
        <v>304</v>
      </c>
      <c r="G1117" t="s">
        <v>18</v>
      </c>
      <c r="H1117" t="str">
        <f t="shared" si="51"/>
        <v>WIN</v>
      </c>
      <c r="I1117" t="s">
        <v>304</v>
      </c>
      <c r="J1117" t="s">
        <v>387</v>
      </c>
      <c r="K1117" t="s">
        <v>368</v>
      </c>
    </row>
    <row r="1118" spans="1:11" x14ac:dyDescent="0.3">
      <c r="A1118" t="s">
        <v>319</v>
      </c>
      <c r="B1118" t="s">
        <v>11</v>
      </c>
      <c r="C1118" t="str">
        <f t="shared" si="52"/>
        <v>IPL-2025</v>
      </c>
      <c r="D1118">
        <f t="shared" si="53"/>
        <v>2025</v>
      </c>
      <c r="E1118" s="1">
        <v>45755</v>
      </c>
      <c r="F1118" t="s">
        <v>11</v>
      </c>
      <c r="G1118" t="s">
        <v>12</v>
      </c>
      <c r="H1118" t="str">
        <f t="shared" si="51"/>
        <v>LOSS</v>
      </c>
      <c r="I1118" t="s">
        <v>319</v>
      </c>
      <c r="J1118" t="s">
        <v>351</v>
      </c>
      <c r="K1118" t="s">
        <v>340</v>
      </c>
    </row>
    <row r="1119" spans="1:11" x14ac:dyDescent="0.3">
      <c r="A1119" t="s">
        <v>320</v>
      </c>
      <c r="B1119" t="s">
        <v>22</v>
      </c>
      <c r="C1119" t="str">
        <f t="shared" si="52"/>
        <v>IPL-2025</v>
      </c>
      <c r="D1119">
        <f t="shared" si="53"/>
        <v>2025</v>
      </c>
      <c r="E1119" s="1">
        <v>45756</v>
      </c>
      <c r="F1119" t="s">
        <v>22</v>
      </c>
      <c r="G1119" t="s">
        <v>12</v>
      </c>
      <c r="H1119" t="str">
        <f t="shared" si="51"/>
        <v>LOSS</v>
      </c>
      <c r="I1119" t="s">
        <v>320</v>
      </c>
      <c r="J1119" t="s">
        <v>348</v>
      </c>
      <c r="K1119" t="s">
        <v>308</v>
      </c>
    </row>
    <row r="1120" spans="1:11" x14ac:dyDescent="0.3">
      <c r="A1120" t="s">
        <v>367</v>
      </c>
      <c r="B1120" t="s">
        <v>281</v>
      </c>
      <c r="C1120" t="str">
        <f t="shared" si="52"/>
        <v>IPL-2025</v>
      </c>
      <c r="D1120">
        <f t="shared" si="53"/>
        <v>2025</v>
      </c>
      <c r="E1120" s="1">
        <v>45757</v>
      </c>
      <c r="F1120" t="s">
        <v>281</v>
      </c>
      <c r="G1120" t="s">
        <v>12</v>
      </c>
      <c r="H1120" t="str">
        <f t="shared" si="51"/>
        <v>WIN</v>
      </c>
      <c r="I1120" t="s">
        <v>281</v>
      </c>
      <c r="J1120" t="s">
        <v>265</v>
      </c>
      <c r="K1120" t="s">
        <v>347</v>
      </c>
    </row>
    <row r="1121" spans="1:11" x14ac:dyDescent="0.3">
      <c r="A1121" t="s">
        <v>17</v>
      </c>
      <c r="B1121" t="s">
        <v>11</v>
      </c>
      <c r="C1121" t="str">
        <f t="shared" si="52"/>
        <v>IPL-2025</v>
      </c>
      <c r="D1121">
        <f t="shared" si="53"/>
        <v>2025</v>
      </c>
      <c r="E1121" s="1">
        <v>45758</v>
      </c>
      <c r="F1121" t="s">
        <v>11</v>
      </c>
      <c r="G1121" t="s">
        <v>12</v>
      </c>
      <c r="H1121" t="str">
        <f t="shared" si="51"/>
        <v>WIN</v>
      </c>
      <c r="I1121" t="s">
        <v>11</v>
      </c>
      <c r="J1121" t="s">
        <v>176</v>
      </c>
      <c r="K1121" t="s">
        <v>302</v>
      </c>
    </row>
    <row r="1122" spans="1:11" x14ac:dyDescent="0.3">
      <c r="A1122" t="s">
        <v>320</v>
      </c>
      <c r="B1122" t="s">
        <v>319</v>
      </c>
      <c r="C1122" t="str">
        <f t="shared" si="52"/>
        <v>IPL-2025</v>
      </c>
      <c r="D1122">
        <f t="shared" si="53"/>
        <v>2025</v>
      </c>
      <c r="E1122" s="1">
        <v>45759</v>
      </c>
      <c r="F1122" t="s">
        <v>319</v>
      </c>
      <c r="G1122" t="s">
        <v>12</v>
      </c>
      <c r="H1122" t="str">
        <f t="shared" si="51"/>
        <v>WIN</v>
      </c>
      <c r="I1122" t="s">
        <v>319</v>
      </c>
      <c r="J1122" t="s">
        <v>388</v>
      </c>
      <c r="K1122" t="s">
        <v>345</v>
      </c>
    </row>
    <row r="1123" spans="1:11" x14ac:dyDescent="0.3">
      <c r="A1123" t="s">
        <v>304</v>
      </c>
      <c r="B1123" t="s">
        <v>187</v>
      </c>
      <c r="C1123" t="str">
        <f t="shared" si="52"/>
        <v>IPL-2025</v>
      </c>
      <c r="D1123">
        <f t="shared" si="53"/>
        <v>2025</v>
      </c>
      <c r="E1123" s="1">
        <v>45759</v>
      </c>
      <c r="F1123" t="s">
        <v>304</v>
      </c>
      <c r="G1123" t="s">
        <v>18</v>
      </c>
      <c r="H1123" t="str">
        <f t="shared" si="51"/>
        <v>LOSS</v>
      </c>
      <c r="I1123" t="s">
        <v>187</v>
      </c>
      <c r="J1123" t="s">
        <v>326</v>
      </c>
      <c r="K1123" t="s">
        <v>346</v>
      </c>
    </row>
    <row r="1124" spans="1:11" x14ac:dyDescent="0.3">
      <c r="A1124" t="s">
        <v>22</v>
      </c>
      <c r="B1124" t="s">
        <v>367</v>
      </c>
      <c r="C1124" t="str">
        <f t="shared" si="52"/>
        <v>IPL-2025</v>
      </c>
      <c r="D1124">
        <f t="shared" si="53"/>
        <v>2025</v>
      </c>
      <c r="E1124" s="1">
        <v>45760</v>
      </c>
      <c r="F1124" t="s">
        <v>367</v>
      </c>
      <c r="G1124" t="s">
        <v>12</v>
      </c>
      <c r="H1124" t="str">
        <f t="shared" si="51"/>
        <v>WIN</v>
      </c>
      <c r="I1124" t="s">
        <v>367</v>
      </c>
      <c r="J1124" t="s">
        <v>358</v>
      </c>
      <c r="K1124" t="s">
        <v>355</v>
      </c>
    </row>
    <row r="1125" spans="1:11" x14ac:dyDescent="0.3">
      <c r="A1125" t="s">
        <v>25</v>
      </c>
      <c r="B1125" t="s">
        <v>281</v>
      </c>
      <c r="C1125" t="str">
        <f t="shared" si="52"/>
        <v>IPL-2025</v>
      </c>
      <c r="D1125">
        <f t="shared" si="53"/>
        <v>2025</v>
      </c>
      <c r="E1125" s="1">
        <v>45760</v>
      </c>
      <c r="F1125" t="s">
        <v>281</v>
      </c>
      <c r="G1125" t="s">
        <v>12</v>
      </c>
      <c r="H1125" t="str">
        <f t="shared" si="51"/>
        <v>LOSS</v>
      </c>
      <c r="I1125" t="s">
        <v>25</v>
      </c>
      <c r="J1125" t="s">
        <v>264</v>
      </c>
      <c r="K1125" t="s">
        <v>309</v>
      </c>
    </row>
    <row r="1126" spans="1:11" x14ac:dyDescent="0.3">
      <c r="A1126" t="s">
        <v>319</v>
      </c>
      <c r="B1126" t="s">
        <v>17</v>
      </c>
      <c r="C1126" t="str">
        <f t="shared" si="52"/>
        <v>IPL-2025</v>
      </c>
      <c r="D1126">
        <f t="shared" si="53"/>
        <v>2025</v>
      </c>
      <c r="E1126" s="1">
        <v>45761</v>
      </c>
      <c r="F1126" t="s">
        <v>17</v>
      </c>
      <c r="G1126" t="s">
        <v>12</v>
      </c>
      <c r="H1126" t="str">
        <f t="shared" si="51"/>
        <v>WIN</v>
      </c>
      <c r="I1126" t="s">
        <v>17</v>
      </c>
      <c r="J1126" t="s">
        <v>43</v>
      </c>
      <c r="K1126" t="s">
        <v>345</v>
      </c>
    </row>
    <row r="1127" spans="1:11" x14ac:dyDescent="0.3">
      <c r="A1127" t="s">
        <v>304</v>
      </c>
      <c r="B1127" t="s">
        <v>11</v>
      </c>
      <c r="C1127" t="str">
        <f t="shared" si="52"/>
        <v>IPL-2025</v>
      </c>
      <c r="D1127">
        <f t="shared" si="53"/>
        <v>2025</v>
      </c>
      <c r="E1127" s="1">
        <v>45762</v>
      </c>
      <c r="F1127" t="s">
        <v>304</v>
      </c>
      <c r="G1127" t="s">
        <v>18</v>
      </c>
      <c r="H1127" t="str">
        <f t="shared" si="51"/>
        <v>WIN</v>
      </c>
      <c r="I1127" t="s">
        <v>304</v>
      </c>
      <c r="J1127" t="s">
        <v>205</v>
      </c>
      <c r="K1127" t="s">
        <v>368</v>
      </c>
    </row>
    <row r="1128" spans="1:11" x14ac:dyDescent="0.3">
      <c r="A1128" t="s">
        <v>281</v>
      </c>
      <c r="B1128" t="s">
        <v>22</v>
      </c>
      <c r="C1128" t="str">
        <f t="shared" si="52"/>
        <v>IPL-2025</v>
      </c>
      <c r="D1128">
        <f t="shared" si="53"/>
        <v>2025</v>
      </c>
      <c r="E1128" s="1">
        <v>45763</v>
      </c>
      <c r="F1128" t="s">
        <v>22</v>
      </c>
      <c r="G1128" t="s">
        <v>12</v>
      </c>
      <c r="H1128" t="str">
        <f t="shared" si="51"/>
        <v>LOSS</v>
      </c>
      <c r="J1128" t="s">
        <v>223</v>
      </c>
      <c r="K1128" t="s">
        <v>309</v>
      </c>
    </row>
    <row r="1129" spans="1:11" x14ac:dyDescent="0.3">
      <c r="A1129" t="s">
        <v>187</v>
      </c>
      <c r="B1129" t="s">
        <v>25</v>
      </c>
      <c r="C1129" t="str">
        <f t="shared" si="52"/>
        <v>IPL-2025</v>
      </c>
      <c r="D1129">
        <f t="shared" si="53"/>
        <v>2025</v>
      </c>
      <c r="E1129" s="1">
        <v>45764</v>
      </c>
      <c r="F1129" t="s">
        <v>25</v>
      </c>
      <c r="G1129" t="s">
        <v>12</v>
      </c>
      <c r="H1129" t="str">
        <f t="shared" si="51"/>
        <v>WIN</v>
      </c>
      <c r="I1129" t="s">
        <v>25</v>
      </c>
      <c r="J1129" t="s">
        <v>378</v>
      </c>
      <c r="K1129" t="s">
        <v>303</v>
      </c>
    </row>
    <row r="1130" spans="1:11" x14ac:dyDescent="0.3">
      <c r="A1130" t="s">
        <v>367</v>
      </c>
      <c r="B1130" t="s">
        <v>304</v>
      </c>
      <c r="C1130" t="str">
        <f t="shared" si="52"/>
        <v>IPL-2025</v>
      </c>
      <c r="D1130">
        <f t="shared" si="53"/>
        <v>2025</v>
      </c>
      <c r="E1130" s="1">
        <v>45765</v>
      </c>
      <c r="F1130" t="s">
        <v>304</v>
      </c>
      <c r="G1130" t="s">
        <v>12</v>
      </c>
      <c r="H1130" t="str">
        <f t="shared" si="51"/>
        <v>WIN</v>
      </c>
      <c r="I1130" t="s">
        <v>304</v>
      </c>
      <c r="J1130" t="s">
        <v>335</v>
      </c>
      <c r="K1130" t="s">
        <v>347</v>
      </c>
    </row>
    <row r="1131" spans="1:11" x14ac:dyDescent="0.3">
      <c r="A1131" t="s">
        <v>281</v>
      </c>
      <c r="B1131" t="s">
        <v>320</v>
      </c>
      <c r="C1131" t="str">
        <f t="shared" si="52"/>
        <v>IPL-2025</v>
      </c>
      <c r="D1131">
        <f t="shared" si="53"/>
        <v>2025</v>
      </c>
      <c r="E1131" s="1">
        <v>45766</v>
      </c>
      <c r="F1131" t="s">
        <v>320</v>
      </c>
      <c r="G1131" t="s">
        <v>12</v>
      </c>
      <c r="H1131" t="str">
        <f t="shared" si="51"/>
        <v>WIN</v>
      </c>
      <c r="I1131" t="s">
        <v>320</v>
      </c>
      <c r="J1131" t="s">
        <v>257</v>
      </c>
      <c r="K1131" t="s">
        <v>308</v>
      </c>
    </row>
    <row r="1132" spans="1:11" x14ac:dyDescent="0.3">
      <c r="A1132" t="s">
        <v>319</v>
      </c>
      <c r="B1132" t="s">
        <v>22</v>
      </c>
      <c r="C1132" t="str">
        <f t="shared" si="52"/>
        <v>IPL-2025</v>
      </c>
      <c r="D1132">
        <f t="shared" si="53"/>
        <v>2025</v>
      </c>
      <c r="E1132" s="1">
        <v>45766</v>
      </c>
      <c r="F1132" t="s">
        <v>319</v>
      </c>
      <c r="G1132" t="s">
        <v>18</v>
      </c>
      <c r="H1132" t="str">
        <f t="shared" si="51"/>
        <v>WIN</v>
      </c>
      <c r="I1132" t="s">
        <v>319</v>
      </c>
      <c r="J1132" t="s">
        <v>325</v>
      </c>
      <c r="K1132" t="s">
        <v>355</v>
      </c>
    </row>
    <row r="1133" spans="1:11" x14ac:dyDescent="0.3">
      <c r="A1133" t="s">
        <v>304</v>
      </c>
      <c r="B1133" t="s">
        <v>367</v>
      </c>
      <c r="C1133" t="str">
        <f t="shared" si="52"/>
        <v>IPL-2025</v>
      </c>
      <c r="D1133">
        <f t="shared" si="53"/>
        <v>2025</v>
      </c>
      <c r="E1133" s="1">
        <v>45767</v>
      </c>
      <c r="F1133" t="s">
        <v>367</v>
      </c>
      <c r="G1133" t="s">
        <v>12</v>
      </c>
      <c r="H1133" t="str">
        <f t="shared" si="51"/>
        <v>WIN</v>
      </c>
      <c r="I1133" t="s">
        <v>367</v>
      </c>
      <c r="J1133" t="s">
        <v>151</v>
      </c>
      <c r="K1133" t="s">
        <v>368</v>
      </c>
    </row>
    <row r="1134" spans="1:11" x14ac:dyDescent="0.3">
      <c r="A1134" t="s">
        <v>17</v>
      </c>
      <c r="B1134" t="s">
        <v>25</v>
      </c>
      <c r="C1134" t="str">
        <f t="shared" si="52"/>
        <v>IPL-2025</v>
      </c>
      <c r="D1134">
        <f t="shared" si="53"/>
        <v>2025</v>
      </c>
      <c r="E1134" s="1">
        <v>45767</v>
      </c>
      <c r="F1134" t="s">
        <v>25</v>
      </c>
      <c r="G1134" t="s">
        <v>12</v>
      </c>
      <c r="H1134" t="str">
        <f t="shared" si="51"/>
        <v>WIN</v>
      </c>
      <c r="I1134" t="s">
        <v>25</v>
      </c>
      <c r="J1134" t="s">
        <v>93</v>
      </c>
      <c r="K1134" t="s">
        <v>303</v>
      </c>
    </row>
    <row r="1135" spans="1:11" x14ac:dyDescent="0.3">
      <c r="A1135" t="s">
        <v>320</v>
      </c>
      <c r="B1135" t="s">
        <v>11</v>
      </c>
      <c r="C1135" t="str">
        <f t="shared" si="52"/>
        <v>IPL-2025</v>
      </c>
      <c r="D1135">
        <f t="shared" si="53"/>
        <v>2025</v>
      </c>
      <c r="E1135" s="1">
        <v>45768</v>
      </c>
      <c r="F1135" t="s">
        <v>11</v>
      </c>
      <c r="G1135" t="s">
        <v>12</v>
      </c>
      <c r="H1135" t="str">
        <f t="shared" si="51"/>
        <v>LOSS</v>
      </c>
      <c r="I1135" t="s">
        <v>320</v>
      </c>
      <c r="J1135" t="s">
        <v>292</v>
      </c>
      <c r="K1135" t="s">
        <v>340</v>
      </c>
    </row>
    <row r="1136" spans="1:11" x14ac:dyDescent="0.3">
      <c r="A1136" t="s">
        <v>319</v>
      </c>
      <c r="B1136" t="s">
        <v>281</v>
      </c>
      <c r="C1136" t="str">
        <f t="shared" si="52"/>
        <v>IPL-2025</v>
      </c>
      <c r="D1136">
        <f t="shared" si="53"/>
        <v>2025</v>
      </c>
      <c r="E1136" s="1">
        <v>45769</v>
      </c>
      <c r="F1136" t="s">
        <v>281</v>
      </c>
      <c r="G1136" t="s">
        <v>12</v>
      </c>
      <c r="H1136" t="str">
        <f t="shared" si="51"/>
        <v>WIN</v>
      </c>
      <c r="I1136" t="s">
        <v>281</v>
      </c>
      <c r="J1136" t="s">
        <v>389</v>
      </c>
      <c r="K1136" t="s">
        <v>345</v>
      </c>
    </row>
    <row r="1137" spans="1:11" x14ac:dyDescent="0.3">
      <c r="A1137" t="s">
        <v>187</v>
      </c>
      <c r="B1137" t="s">
        <v>25</v>
      </c>
      <c r="C1137" t="str">
        <f t="shared" si="52"/>
        <v>IPL-2025</v>
      </c>
      <c r="D1137">
        <f t="shared" si="53"/>
        <v>2025</v>
      </c>
      <c r="E1137" s="1">
        <v>45770</v>
      </c>
      <c r="F1137" t="s">
        <v>25</v>
      </c>
      <c r="G1137" t="s">
        <v>12</v>
      </c>
      <c r="H1137" t="str">
        <f t="shared" si="51"/>
        <v>WIN</v>
      </c>
      <c r="I1137" t="s">
        <v>25</v>
      </c>
      <c r="J1137" t="s">
        <v>225</v>
      </c>
      <c r="K1137" t="s">
        <v>346</v>
      </c>
    </row>
    <row r="1138" spans="1:11" x14ac:dyDescent="0.3">
      <c r="A1138" t="s">
        <v>367</v>
      </c>
      <c r="B1138" t="s">
        <v>22</v>
      </c>
      <c r="C1138" t="str">
        <f t="shared" si="52"/>
        <v>IPL-2025</v>
      </c>
      <c r="D1138">
        <f t="shared" si="53"/>
        <v>2025</v>
      </c>
      <c r="E1138" s="1">
        <v>45771</v>
      </c>
      <c r="F1138" t="s">
        <v>22</v>
      </c>
      <c r="G1138" t="s">
        <v>12</v>
      </c>
      <c r="H1138" t="str">
        <f t="shared" si="51"/>
        <v>LOSS</v>
      </c>
      <c r="I1138" t="s">
        <v>367</v>
      </c>
      <c r="J1138" t="s">
        <v>314</v>
      </c>
      <c r="K1138" t="s">
        <v>347</v>
      </c>
    </row>
    <row r="1139" spans="1:11" x14ac:dyDescent="0.3">
      <c r="A1139" t="s">
        <v>17</v>
      </c>
      <c r="B1139" t="s">
        <v>187</v>
      </c>
      <c r="C1139" t="str">
        <f t="shared" si="52"/>
        <v>IPL-2025</v>
      </c>
      <c r="D1139">
        <f t="shared" si="53"/>
        <v>2025</v>
      </c>
      <c r="E1139" s="1">
        <v>45772</v>
      </c>
      <c r="F1139" t="s">
        <v>187</v>
      </c>
      <c r="G1139" t="s">
        <v>12</v>
      </c>
      <c r="H1139" t="str">
        <f t="shared" si="51"/>
        <v>WIN</v>
      </c>
      <c r="I1139" t="s">
        <v>187</v>
      </c>
      <c r="J1139" t="s">
        <v>262</v>
      </c>
      <c r="K1139" t="s">
        <v>302</v>
      </c>
    </row>
    <row r="1140" spans="1:11" x14ac:dyDescent="0.3">
      <c r="A1140" t="s">
        <v>304</v>
      </c>
      <c r="B1140" t="s">
        <v>11</v>
      </c>
      <c r="C1140" t="str">
        <f t="shared" si="52"/>
        <v>IPL-2025</v>
      </c>
      <c r="D1140">
        <f t="shared" si="53"/>
        <v>2025</v>
      </c>
      <c r="E1140" s="1">
        <v>45773</v>
      </c>
      <c r="F1140" t="s">
        <v>304</v>
      </c>
      <c r="G1140" t="s">
        <v>18</v>
      </c>
      <c r="H1140" t="str">
        <f t="shared" si="51"/>
        <v>LOSS</v>
      </c>
      <c r="J1140" t="s">
        <v>15</v>
      </c>
      <c r="K1140" t="s">
        <v>340</v>
      </c>
    </row>
    <row r="1141" spans="1:11" x14ac:dyDescent="0.3">
      <c r="A1141" t="s">
        <v>25</v>
      </c>
      <c r="B1141" t="s">
        <v>319</v>
      </c>
      <c r="C1141" t="str">
        <f t="shared" si="52"/>
        <v>IPL-2025</v>
      </c>
      <c r="D1141">
        <f t="shared" si="53"/>
        <v>2025</v>
      </c>
      <c r="E1141" s="1">
        <v>45774</v>
      </c>
      <c r="F1141" t="s">
        <v>319</v>
      </c>
      <c r="G1141" t="s">
        <v>12</v>
      </c>
      <c r="H1141" t="str">
        <f t="shared" si="51"/>
        <v>LOSS</v>
      </c>
      <c r="I1141" t="s">
        <v>25</v>
      </c>
      <c r="J1141" t="s">
        <v>378</v>
      </c>
      <c r="K1141" t="s">
        <v>303</v>
      </c>
    </row>
    <row r="1142" spans="1:11" x14ac:dyDescent="0.3">
      <c r="A1142" t="s">
        <v>281</v>
      </c>
      <c r="B1142" t="s">
        <v>367</v>
      </c>
      <c r="C1142" t="str">
        <f t="shared" si="52"/>
        <v>IPL-2025</v>
      </c>
      <c r="D1142">
        <f t="shared" si="53"/>
        <v>2025</v>
      </c>
      <c r="E1142" s="1">
        <v>45774</v>
      </c>
      <c r="F1142" t="s">
        <v>367</v>
      </c>
      <c r="G1142" t="s">
        <v>12</v>
      </c>
      <c r="H1142" t="str">
        <f t="shared" si="51"/>
        <v>WIN</v>
      </c>
      <c r="I1142" t="s">
        <v>367</v>
      </c>
      <c r="J1142" t="s">
        <v>245</v>
      </c>
      <c r="K1142" t="s">
        <v>309</v>
      </c>
    </row>
    <row r="1143" spans="1:11" x14ac:dyDescent="0.3">
      <c r="A1143" t="s">
        <v>320</v>
      </c>
      <c r="B1143" t="s">
        <v>22</v>
      </c>
      <c r="C1143" t="str">
        <f t="shared" si="52"/>
        <v>IPL-2025</v>
      </c>
      <c r="D1143">
        <f t="shared" si="53"/>
        <v>2025</v>
      </c>
      <c r="E1143" s="1">
        <v>45775</v>
      </c>
      <c r="F1143" t="s">
        <v>22</v>
      </c>
      <c r="G1143" t="s">
        <v>12</v>
      </c>
      <c r="H1143" t="str">
        <f t="shared" si="51"/>
        <v>WIN</v>
      </c>
      <c r="I1143" t="s">
        <v>22</v>
      </c>
      <c r="J1143" t="s">
        <v>390</v>
      </c>
      <c r="K1143" t="s">
        <v>355</v>
      </c>
    </row>
    <row r="1144" spans="1:11" x14ac:dyDescent="0.3">
      <c r="A1144" t="s">
        <v>11</v>
      </c>
      <c r="B1144" t="s">
        <v>281</v>
      </c>
      <c r="C1144" t="str">
        <f t="shared" si="52"/>
        <v>IPL-2025</v>
      </c>
      <c r="D1144">
        <f t="shared" si="53"/>
        <v>2025</v>
      </c>
      <c r="E1144" s="1">
        <v>45776</v>
      </c>
      <c r="F1144" t="s">
        <v>281</v>
      </c>
      <c r="G1144" t="s">
        <v>12</v>
      </c>
      <c r="H1144" t="str">
        <f t="shared" si="51"/>
        <v>LOSS</v>
      </c>
      <c r="I1144" t="s">
        <v>11</v>
      </c>
      <c r="J1144" t="s">
        <v>176</v>
      </c>
      <c r="K1144" t="s">
        <v>309</v>
      </c>
    </row>
    <row r="1145" spans="1:11" x14ac:dyDescent="0.3">
      <c r="A1145" t="s">
        <v>17</v>
      </c>
      <c r="B1145" t="s">
        <v>304</v>
      </c>
      <c r="C1145" t="str">
        <f t="shared" si="52"/>
        <v>IPL-2025</v>
      </c>
      <c r="D1145">
        <f t="shared" si="53"/>
        <v>2025</v>
      </c>
      <c r="E1145" s="1">
        <v>45777</v>
      </c>
      <c r="F1145" t="s">
        <v>304</v>
      </c>
      <c r="G1145" t="s">
        <v>12</v>
      </c>
      <c r="H1145" t="str">
        <f t="shared" si="51"/>
        <v>WIN</v>
      </c>
      <c r="I1145" t="s">
        <v>304</v>
      </c>
      <c r="J1145" t="s">
        <v>222</v>
      </c>
      <c r="K1145" t="s">
        <v>302</v>
      </c>
    </row>
    <row r="1146" spans="1:11" x14ac:dyDescent="0.3">
      <c r="A1146" t="s">
        <v>25</v>
      </c>
      <c r="B1146" t="s">
        <v>22</v>
      </c>
      <c r="C1146" t="str">
        <f t="shared" si="52"/>
        <v>IPL-2025</v>
      </c>
      <c r="D1146">
        <f t="shared" si="53"/>
        <v>2025</v>
      </c>
      <c r="E1146" s="1">
        <v>45778</v>
      </c>
      <c r="F1146" t="s">
        <v>22</v>
      </c>
      <c r="G1146" t="s">
        <v>12</v>
      </c>
      <c r="H1146" t="str">
        <f t="shared" si="51"/>
        <v>LOSS</v>
      </c>
      <c r="I1146" t="s">
        <v>25</v>
      </c>
      <c r="J1146" t="s">
        <v>391</v>
      </c>
      <c r="K1146" t="s">
        <v>355</v>
      </c>
    </row>
    <row r="1147" spans="1:11" x14ac:dyDescent="0.3">
      <c r="A1147" t="s">
        <v>320</v>
      </c>
      <c r="B1147" t="s">
        <v>187</v>
      </c>
      <c r="C1147" t="str">
        <f t="shared" si="52"/>
        <v>IPL-2025</v>
      </c>
      <c r="D1147">
        <f t="shared" si="53"/>
        <v>2025</v>
      </c>
      <c r="E1147" s="1">
        <v>45779</v>
      </c>
      <c r="F1147" t="s">
        <v>187</v>
      </c>
      <c r="G1147" t="s">
        <v>12</v>
      </c>
      <c r="H1147" t="str">
        <f t="shared" si="51"/>
        <v>LOSS</v>
      </c>
      <c r="I1147" t="s">
        <v>320</v>
      </c>
      <c r="J1147" t="s">
        <v>383</v>
      </c>
      <c r="K1147" t="s">
        <v>308</v>
      </c>
    </row>
    <row r="1148" spans="1:11" x14ac:dyDescent="0.3">
      <c r="A1148" t="s">
        <v>367</v>
      </c>
      <c r="B1148" t="s">
        <v>17</v>
      </c>
      <c r="C1148" t="str">
        <f t="shared" si="52"/>
        <v>IPL-2025</v>
      </c>
      <c r="D1148">
        <f t="shared" si="53"/>
        <v>2025</v>
      </c>
      <c r="E1148" s="1">
        <v>45780</v>
      </c>
      <c r="F1148" t="s">
        <v>17</v>
      </c>
      <c r="G1148" t="s">
        <v>12</v>
      </c>
      <c r="H1148" t="str">
        <f t="shared" si="51"/>
        <v>LOSS</v>
      </c>
      <c r="I1148" t="s">
        <v>367</v>
      </c>
      <c r="J1148" t="s">
        <v>373</v>
      </c>
      <c r="K1148" t="s">
        <v>347</v>
      </c>
    </row>
    <row r="1149" spans="1:11" x14ac:dyDescent="0.3">
      <c r="A1149" t="s">
        <v>304</v>
      </c>
      <c r="B1149" t="s">
        <v>319</v>
      </c>
      <c r="C1149" t="str">
        <f t="shared" si="52"/>
        <v>IPL-2025</v>
      </c>
      <c r="D1149">
        <f t="shared" si="53"/>
        <v>2025</v>
      </c>
      <c r="E1149" s="1">
        <v>45781</v>
      </c>
      <c r="F1149" t="s">
        <v>319</v>
      </c>
      <c r="G1149" t="s">
        <v>12</v>
      </c>
      <c r="H1149" t="str">
        <f t="shared" si="51"/>
        <v>LOSS</v>
      </c>
      <c r="I1149" t="s">
        <v>304</v>
      </c>
      <c r="J1149" t="s">
        <v>361</v>
      </c>
      <c r="K1149" t="s">
        <v>365</v>
      </c>
    </row>
    <row r="1150" spans="1:11" x14ac:dyDescent="0.3">
      <c r="A1150" t="s">
        <v>11</v>
      </c>
      <c r="B1150" t="s">
        <v>22</v>
      </c>
      <c r="C1150" t="str">
        <f t="shared" si="52"/>
        <v>IPL-2025</v>
      </c>
      <c r="D1150">
        <f t="shared" si="53"/>
        <v>2025</v>
      </c>
      <c r="E1150" s="1">
        <v>45781</v>
      </c>
      <c r="F1150" t="s">
        <v>11</v>
      </c>
      <c r="G1150" t="s">
        <v>18</v>
      </c>
      <c r="H1150" t="str">
        <f t="shared" si="51"/>
        <v>WIN</v>
      </c>
      <c r="I1150" t="s">
        <v>11</v>
      </c>
      <c r="J1150" t="s">
        <v>221</v>
      </c>
      <c r="K1150" t="s">
        <v>340</v>
      </c>
    </row>
    <row r="1151" spans="1:11" x14ac:dyDescent="0.3">
      <c r="A1151" t="s">
        <v>281</v>
      </c>
      <c r="B1151" t="s">
        <v>187</v>
      </c>
      <c r="C1151" t="str">
        <f t="shared" si="52"/>
        <v>IPL-2025</v>
      </c>
      <c r="D1151">
        <f t="shared" si="53"/>
        <v>2025</v>
      </c>
      <c r="E1151" s="1">
        <v>45782</v>
      </c>
      <c r="F1151" t="s">
        <v>187</v>
      </c>
      <c r="G1151" t="s">
        <v>12</v>
      </c>
      <c r="H1151" t="str">
        <f t="shared" si="51"/>
        <v>LOSS</v>
      </c>
      <c r="J1151" t="s">
        <v>15</v>
      </c>
      <c r="K1151" t="s">
        <v>346</v>
      </c>
    </row>
    <row r="1152" spans="1:11" x14ac:dyDescent="0.3">
      <c r="A1152" t="s">
        <v>25</v>
      </c>
      <c r="B1152" t="s">
        <v>320</v>
      </c>
      <c r="C1152" t="str">
        <f t="shared" si="52"/>
        <v>IPL-2025</v>
      </c>
      <c r="D1152">
        <f t="shared" si="53"/>
        <v>2025</v>
      </c>
      <c r="E1152" s="1">
        <v>45783</v>
      </c>
      <c r="F1152" t="s">
        <v>320</v>
      </c>
      <c r="G1152" t="s">
        <v>12</v>
      </c>
      <c r="H1152" t="str">
        <f t="shared" si="51"/>
        <v>WIN</v>
      </c>
      <c r="I1152" t="s">
        <v>320</v>
      </c>
      <c r="J1152" t="s">
        <v>292</v>
      </c>
      <c r="K1152" t="s">
        <v>303</v>
      </c>
    </row>
    <row r="1153" spans="1:11" x14ac:dyDescent="0.3">
      <c r="A1153" t="s">
        <v>11</v>
      </c>
      <c r="B1153" t="s">
        <v>17</v>
      </c>
      <c r="C1153" t="str">
        <f t="shared" si="52"/>
        <v>IPL-2025</v>
      </c>
      <c r="D1153">
        <f t="shared" si="53"/>
        <v>2025</v>
      </c>
      <c r="E1153" s="1">
        <v>45784</v>
      </c>
      <c r="F1153" t="s">
        <v>11</v>
      </c>
      <c r="G1153" t="s">
        <v>18</v>
      </c>
      <c r="H1153" t="str">
        <f t="shared" si="51"/>
        <v>LOSS</v>
      </c>
      <c r="I1153" t="s">
        <v>17</v>
      </c>
      <c r="J1153" t="s">
        <v>381</v>
      </c>
      <c r="K1153" t="s">
        <v>340</v>
      </c>
    </row>
    <row r="1154" spans="1:11" x14ac:dyDescent="0.3">
      <c r="A1154" t="s">
        <v>304</v>
      </c>
      <c r="B1154" t="s">
        <v>281</v>
      </c>
      <c r="C1154" t="str">
        <f t="shared" si="52"/>
        <v>IPL-2025</v>
      </c>
      <c r="D1154">
        <f t="shared" si="53"/>
        <v>2025</v>
      </c>
      <c r="E1154" s="1">
        <v>45785</v>
      </c>
      <c r="F1154" t="s">
        <v>304</v>
      </c>
      <c r="G1154" t="s">
        <v>18</v>
      </c>
      <c r="H1154" t="str">
        <f t="shared" ref="H1154:H1170" si="54">IF(F1154=I1154,"WIN","LOSS")</f>
        <v>LOSS</v>
      </c>
      <c r="J1154" t="s">
        <v>15</v>
      </c>
      <c r="K1154" t="s">
        <v>365</v>
      </c>
    </row>
    <row r="1155" spans="1:11" x14ac:dyDescent="0.3">
      <c r="A1155" t="s">
        <v>281</v>
      </c>
      <c r="B1155" t="s">
        <v>320</v>
      </c>
      <c r="C1155" t="str">
        <f t="shared" ref="C1155:C1170" si="55">_xlfn.CONCAT("IPL-",D1155)</f>
        <v>IPL-2025</v>
      </c>
      <c r="D1155">
        <f t="shared" ref="D1155:D1170" si="56">YEAR(E1155)</f>
        <v>2025</v>
      </c>
      <c r="E1155" s="1">
        <v>45795</v>
      </c>
      <c r="F1155" t="s">
        <v>320</v>
      </c>
      <c r="G1155" t="s">
        <v>12</v>
      </c>
      <c r="H1155" t="str">
        <f t="shared" si="54"/>
        <v>WIN</v>
      </c>
      <c r="I1155" t="s">
        <v>320</v>
      </c>
      <c r="J1155" t="s">
        <v>348</v>
      </c>
      <c r="K1155" t="s">
        <v>309</v>
      </c>
    </row>
    <row r="1156" spans="1:11" x14ac:dyDescent="0.3">
      <c r="A1156" t="s">
        <v>304</v>
      </c>
      <c r="B1156" t="s">
        <v>22</v>
      </c>
      <c r="C1156" t="str">
        <f t="shared" si="55"/>
        <v>IPL-2025</v>
      </c>
      <c r="D1156">
        <f t="shared" si="56"/>
        <v>2025</v>
      </c>
      <c r="E1156" s="1">
        <v>45795</v>
      </c>
      <c r="F1156" t="s">
        <v>304</v>
      </c>
      <c r="G1156" t="s">
        <v>18</v>
      </c>
      <c r="H1156" t="str">
        <f t="shared" si="54"/>
        <v>WIN</v>
      </c>
      <c r="I1156" t="s">
        <v>304</v>
      </c>
      <c r="J1156" t="s">
        <v>310</v>
      </c>
      <c r="K1156" t="s">
        <v>355</v>
      </c>
    </row>
    <row r="1157" spans="1:11" x14ac:dyDescent="0.3">
      <c r="A1157" t="s">
        <v>319</v>
      </c>
      <c r="B1157" t="s">
        <v>187</v>
      </c>
      <c r="C1157" t="str">
        <f t="shared" si="55"/>
        <v>IPL-2025</v>
      </c>
      <c r="D1157">
        <f t="shared" si="56"/>
        <v>2025</v>
      </c>
      <c r="E1157" s="1">
        <v>45796</v>
      </c>
      <c r="F1157" t="s">
        <v>187</v>
      </c>
      <c r="G1157" t="s">
        <v>12</v>
      </c>
      <c r="H1157" t="str">
        <f t="shared" si="54"/>
        <v>WIN</v>
      </c>
      <c r="I1157" t="s">
        <v>187</v>
      </c>
      <c r="J1157" t="s">
        <v>326</v>
      </c>
      <c r="K1157" t="s">
        <v>345</v>
      </c>
    </row>
    <row r="1158" spans="1:11" x14ac:dyDescent="0.3">
      <c r="A1158" t="s">
        <v>17</v>
      </c>
      <c r="B1158" t="s">
        <v>22</v>
      </c>
      <c r="C1158" t="str">
        <f t="shared" si="55"/>
        <v>IPL-2025</v>
      </c>
      <c r="D1158">
        <f t="shared" si="56"/>
        <v>2025</v>
      </c>
      <c r="E1158" s="1">
        <v>45797</v>
      </c>
      <c r="F1158" t="s">
        <v>22</v>
      </c>
      <c r="G1158" t="s">
        <v>12</v>
      </c>
      <c r="H1158" t="str">
        <f t="shared" si="54"/>
        <v>WIN</v>
      </c>
      <c r="I1158" t="s">
        <v>22</v>
      </c>
      <c r="J1158" t="s">
        <v>366</v>
      </c>
      <c r="K1158" t="s">
        <v>309</v>
      </c>
    </row>
    <row r="1159" spans="1:11" x14ac:dyDescent="0.3">
      <c r="A1159" t="s">
        <v>25</v>
      </c>
      <c r="B1159" t="s">
        <v>281</v>
      </c>
      <c r="C1159" t="str">
        <f t="shared" si="55"/>
        <v>IPL-2025</v>
      </c>
      <c r="D1159">
        <f t="shared" si="56"/>
        <v>2025</v>
      </c>
      <c r="E1159" s="1">
        <v>45798</v>
      </c>
      <c r="F1159" t="s">
        <v>281</v>
      </c>
      <c r="G1159" t="s">
        <v>12</v>
      </c>
      <c r="H1159" t="str">
        <f t="shared" si="54"/>
        <v>LOSS</v>
      </c>
      <c r="I1159" t="s">
        <v>25</v>
      </c>
      <c r="J1159" t="s">
        <v>238</v>
      </c>
      <c r="K1159" t="s">
        <v>303</v>
      </c>
    </row>
    <row r="1160" spans="1:11" x14ac:dyDescent="0.3">
      <c r="A1160" t="s">
        <v>319</v>
      </c>
      <c r="B1160" t="s">
        <v>320</v>
      </c>
      <c r="C1160" t="str">
        <f t="shared" si="55"/>
        <v>IPL-2025</v>
      </c>
      <c r="D1160">
        <f t="shared" si="56"/>
        <v>2025</v>
      </c>
      <c r="E1160" s="1">
        <v>45799</v>
      </c>
      <c r="F1160" t="s">
        <v>320</v>
      </c>
      <c r="G1160" t="s">
        <v>12</v>
      </c>
      <c r="H1160" t="str">
        <f t="shared" si="54"/>
        <v>LOSS</v>
      </c>
      <c r="I1160" t="s">
        <v>319</v>
      </c>
      <c r="J1160" t="s">
        <v>158</v>
      </c>
      <c r="K1160" t="s">
        <v>308</v>
      </c>
    </row>
    <row r="1161" spans="1:11" x14ac:dyDescent="0.3">
      <c r="A1161" t="s">
        <v>187</v>
      </c>
      <c r="B1161" t="s">
        <v>367</v>
      </c>
      <c r="C1161" t="str">
        <f t="shared" si="55"/>
        <v>IPL-2025</v>
      </c>
      <c r="D1161">
        <f t="shared" si="56"/>
        <v>2025</v>
      </c>
      <c r="E1161" s="1">
        <v>45800</v>
      </c>
      <c r="F1161" t="s">
        <v>367</v>
      </c>
      <c r="G1161" t="s">
        <v>12</v>
      </c>
      <c r="H1161" t="str">
        <f t="shared" si="54"/>
        <v>LOSS</v>
      </c>
      <c r="I1161" t="s">
        <v>187</v>
      </c>
      <c r="J1161" t="s">
        <v>277</v>
      </c>
      <c r="K1161" t="s">
        <v>345</v>
      </c>
    </row>
    <row r="1162" spans="1:11" x14ac:dyDescent="0.3">
      <c r="A1162" t="s">
        <v>304</v>
      </c>
      <c r="B1162" t="s">
        <v>281</v>
      </c>
      <c r="C1162" t="str">
        <f t="shared" si="55"/>
        <v>IPL-2025</v>
      </c>
      <c r="D1162">
        <f t="shared" si="56"/>
        <v>2025</v>
      </c>
      <c r="E1162" s="1">
        <v>45801</v>
      </c>
      <c r="F1162" t="s">
        <v>281</v>
      </c>
      <c r="G1162" t="s">
        <v>12</v>
      </c>
      <c r="H1162" t="str">
        <f t="shared" si="54"/>
        <v>WIN</v>
      </c>
      <c r="I1162" t="s">
        <v>281</v>
      </c>
      <c r="J1162" t="s">
        <v>392</v>
      </c>
      <c r="K1162" t="s">
        <v>355</v>
      </c>
    </row>
    <row r="1163" spans="1:11" x14ac:dyDescent="0.3">
      <c r="A1163" t="s">
        <v>187</v>
      </c>
      <c r="B1163" t="s">
        <v>11</v>
      </c>
      <c r="C1163" t="str">
        <f t="shared" si="55"/>
        <v>IPL-2025</v>
      </c>
      <c r="D1163">
        <f t="shared" si="56"/>
        <v>2025</v>
      </c>
      <c r="E1163" s="1">
        <v>45802</v>
      </c>
      <c r="F1163" t="s">
        <v>187</v>
      </c>
      <c r="G1163" t="s">
        <v>18</v>
      </c>
      <c r="H1163" t="str">
        <f t="shared" si="54"/>
        <v>WIN</v>
      </c>
      <c r="I1163" t="s">
        <v>187</v>
      </c>
      <c r="J1163" t="s">
        <v>393</v>
      </c>
      <c r="K1163" t="s">
        <v>309</v>
      </c>
    </row>
    <row r="1164" spans="1:11" x14ac:dyDescent="0.3">
      <c r="A1164" t="s">
        <v>17</v>
      </c>
      <c r="B1164" t="s">
        <v>320</v>
      </c>
      <c r="C1164" t="str">
        <f t="shared" si="55"/>
        <v>IPL-2025</v>
      </c>
      <c r="D1164">
        <f t="shared" si="56"/>
        <v>2025</v>
      </c>
      <c r="E1164" s="1">
        <v>45802</v>
      </c>
      <c r="F1164" t="s">
        <v>17</v>
      </c>
      <c r="G1164" t="s">
        <v>18</v>
      </c>
      <c r="H1164" t="str">
        <f t="shared" si="54"/>
        <v>WIN</v>
      </c>
      <c r="I1164" t="s">
        <v>17</v>
      </c>
      <c r="J1164" t="s">
        <v>394</v>
      </c>
      <c r="K1164" t="s">
        <v>308</v>
      </c>
    </row>
    <row r="1165" spans="1:11" x14ac:dyDescent="0.3">
      <c r="A1165" t="s">
        <v>25</v>
      </c>
      <c r="B1165" t="s">
        <v>304</v>
      </c>
      <c r="C1165" t="str">
        <f t="shared" si="55"/>
        <v>IPL-2025</v>
      </c>
      <c r="D1165">
        <f t="shared" si="56"/>
        <v>2025</v>
      </c>
      <c r="E1165" s="1">
        <v>45803</v>
      </c>
      <c r="F1165" t="s">
        <v>304</v>
      </c>
      <c r="G1165" t="s">
        <v>12</v>
      </c>
      <c r="H1165" t="str">
        <f t="shared" si="54"/>
        <v>WIN</v>
      </c>
      <c r="I1165" t="s">
        <v>304</v>
      </c>
      <c r="J1165" t="s">
        <v>395</v>
      </c>
      <c r="K1165" t="s">
        <v>355</v>
      </c>
    </row>
    <row r="1166" spans="1:11" x14ac:dyDescent="0.3">
      <c r="A1166" t="s">
        <v>319</v>
      </c>
      <c r="B1166" t="s">
        <v>367</v>
      </c>
      <c r="C1166" t="str">
        <f t="shared" si="55"/>
        <v>IPL-2025</v>
      </c>
      <c r="D1166">
        <f t="shared" si="56"/>
        <v>2025</v>
      </c>
      <c r="E1166" s="1">
        <v>45804</v>
      </c>
      <c r="F1166" t="s">
        <v>367</v>
      </c>
      <c r="G1166" t="s">
        <v>12</v>
      </c>
      <c r="H1166" t="str">
        <f t="shared" si="54"/>
        <v>WIN</v>
      </c>
      <c r="I1166" t="s">
        <v>367</v>
      </c>
      <c r="J1166" t="s">
        <v>396</v>
      </c>
      <c r="K1166" t="s">
        <v>345</v>
      </c>
    </row>
    <row r="1167" spans="1:11" x14ac:dyDescent="0.3">
      <c r="A1167" t="s">
        <v>304</v>
      </c>
      <c r="B1167" t="s">
        <v>367</v>
      </c>
      <c r="C1167" t="str">
        <f t="shared" si="55"/>
        <v>IPL-2025</v>
      </c>
      <c r="D1167">
        <f t="shared" si="56"/>
        <v>2025</v>
      </c>
      <c r="E1167" s="1">
        <v>45806</v>
      </c>
      <c r="F1167" t="s">
        <v>367</v>
      </c>
      <c r="G1167" t="s">
        <v>12</v>
      </c>
      <c r="H1167" t="str">
        <f t="shared" si="54"/>
        <v>WIN</v>
      </c>
      <c r="I1167" t="s">
        <v>367</v>
      </c>
      <c r="J1167" t="s">
        <v>397</v>
      </c>
      <c r="K1167" t="s">
        <v>368</v>
      </c>
    </row>
    <row r="1168" spans="1:11" x14ac:dyDescent="0.3">
      <c r="A1168" t="s">
        <v>25</v>
      </c>
      <c r="B1168" t="s">
        <v>320</v>
      </c>
      <c r="C1168" t="str">
        <f t="shared" si="55"/>
        <v>IPL-2025</v>
      </c>
      <c r="D1168">
        <f t="shared" si="56"/>
        <v>2025</v>
      </c>
      <c r="E1168" s="1">
        <v>45807</v>
      </c>
      <c r="F1168" t="s">
        <v>25</v>
      </c>
      <c r="G1168" t="s">
        <v>18</v>
      </c>
      <c r="H1168" t="str">
        <f t="shared" si="54"/>
        <v>WIN</v>
      </c>
      <c r="I1168" t="s">
        <v>25</v>
      </c>
      <c r="J1168" t="s">
        <v>93</v>
      </c>
      <c r="K1168" t="s">
        <v>398</v>
      </c>
    </row>
    <row r="1169" spans="1:11" x14ac:dyDescent="0.3">
      <c r="A1169" t="s">
        <v>25</v>
      </c>
      <c r="B1169" t="s">
        <v>304</v>
      </c>
      <c r="C1169" t="str">
        <f t="shared" si="55"/>
        <v>IPL-2025</v>
      </c>
      <c r="D1169">
        <f t="shared" si="56"/>
        <v>2025</v>
      </c>
      <c r="E1169" s="1">
        <v>45809</v>
      </c>
      <c r="F1169" t="s">
        <v>304</v>
      </c>
      <c r="G1169" t="s">
        <v>12</v>
      </c>
      <c r="H1169" t="str">
        <f t="shared" si="54"/>
        <v>WIN</v>
      </c>
      <c r="I1169" t="s">
        <v>304</v>
      </c>
      <c r="J1169" t="s">
        <v>222</v>
      </c>
      <c r="K1169" t="s">
        <v>308</v>
      </c>
    </row>
    <row r="1170" spans="1:11" x14ac:dyDescent="0.3">
      <c r="A1170" t="s">
        <v>367</v>
      </c>
      <c r="B1170" t="s">
        <v>304</v>
      </c>
      <c r="C1170" t="str">
        <f t="shared" si="55"/>
        <v>IPL-2025</v>
      </c>
      <c r="D1170">
        <f t="shared" si="56"/>
        <v>2025</v>
      </c>
      <c r="E1170" s="1">
        <v>45811</v>
      </c>
      <c r="F1170" t="s">
        <v>304</v>
      </c>
      <c r="G1170" t="s">
        <v>12</v>
      </c>
      <c r="H1170" t="str">
        <f t="shared" si="54"/>
        <v>LOSS</v>
      </c>
      <c r="I1170" t="s">
        <v>367</v>
      </c>
      <c r="J1170" t="s">
        <v>245</v>
      </c>
      <c r="K1170" t="s">
        <v>308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42A74-321E-4464-9B3E-E3D684800567}">
  <dimension ref="A3:E12"/>
  <sheetViews>
    <sheetView workbookViewId="0">
      <selection activeCell="G10" sqref="G10"/>
    </sheetView>
  </sheetViews>
  <sheetFormatPr defaultRowHeight="14.4" x14ac:dyDescent="0.3"/>
  <cols>
    <col min="1" max="1" width="24.21875" bestFit="1" customWidth="1"/>
    <col min="2" max="2" width="15" bestFit="1" customWidth="1"/>
    <col min="4" max="4" width="24.21875" bestFit="1" customWidth="1"/>
    <col min="5" max="5" width="14.5546875" bestFit="1" customWidth="1"/>
  </cols>
  <sheetData>
    <row r="3" spans="1:5" x14ac:dyDescent="0.3">
      <c r="A3" s="4" t="s">
        <v>434</v>
      </c>
      <c r="B3" t="s">
        <v>447</v>
      </c>
      <c r="D3" t="s">
        <v>448</v>
      </c>
      <c r="E3" t="s">
        <v>447</v>
      </c>
    </row>
    <row r="4" spans="1:5" x14ac:dyDescent="0.3">
      <c r="A4" s="5" t="s">
        <v>17</v>
      </c>
      <c r="B4">
        <v>5</v>
      </c>
      <c r="D4" t="str">
        <f>A4</f>
        <v>Chennai Super Kings</v>
      </c>
      <c r="E4">
        <f>GETPIVOTDATA("Winner",$A$3,"Winner",A4)</f>
        <v>5</v>
      </c>
    </row>
    <row r="5" spans="1:5" x14ac:dyDescent="0.3">
      <c r="A5" s="5" t="s">
        <v>28</v>
      </c>
      <c r="B5">
        <v>1</v>
      </c>
      <c r="D5" t="str">
        <f t="shared" ref="D5:D11" si="0">A5</f>
        <v>Deccan Chargers</v>
      </c>
      <c r="E5">
        <f t="shared" ref="E5:E11" si="1">GETPIVOTDATA("Winner",$A$3,"Winner",A5)</f>
        <v>1</v>
      </c>
    </row>
    <row r="6" spans="1:5" x14ac:dyDescent="0.3">
      <c r="A6" s="5" t="s">
        <v>320</v>
      </c>
      <c r="B6">
        <v>1</v>
      </c>
      <c r="D6" t="str">
        <f t="shared" si="0"/>
        <v>Gujarat Titans</v>
      </c>
      <c r="E6">
        <f t="shared" si="1"/>
        <v>1</v>
      </c>
    </row>
    <row r="7" spans="1:5" x14ac:dyDescent="0.3">
      <c r="A7" s="5" t="s">
        <v>11</v>
      </c>
      <c r="B7">
        <v>3</v>
      </c>
      <c r="D7" t="str">
        <f t="shared" si="0"/>
        <v>Kolkata Knight Riders</v>
      </c>
      <c r="E7">
        <f t="shared" si="1"/>
        <v>3</v>
      </c>
    </row>
    <row r="8" spans="1:5" x14ac:dyDescent="0.3">
      <c r="A8" s="5" t="s">
        <v>25</v>
      </c>
      <c r="B8">
        <v>5</v>
      </c>
      <c r="D8" t="str">
        <f t="shared" si="0"/>
        <v>Mumbai Indians</v>
      </c>
      <c r="E8">
        <f t="shared" si="1"/>
        <v>5</v>
      </c>
    </row>
    <row r="9" spans="1:5" x14ac:dyDescent="0.3">
      <c r="A9" s="5" t="s">
        <v>22</v>
      </c>
      <c r="B9">
        <v>1</v>
      </c>
      <c r="D9" t="str">
        <f t="shared" si="0"/>
        <v>Rajasthan Royals</v>
      </c>
      <c r="E9">
        <f t="shared" si="1"/>
        <v>1</v>
      </c>
    </row>
    <row r="10" spans="1:5" x14ac:dyDescent="0.3">
      <c r="A10" s="5" t="s">
        <v>367</v>
      </c>
      <c r="B10">
        <v>1</v>
      </c>
      <c r="D10" t="str">
        <f t="shared" si="0"/>
        <v>Royal Challengers Bengaluru</v>
      </c>
      <c r="E10">
        <f t="shared" si="1"/>
        <v>1</v>
      </c>
    </row>
    <row r="11" spans="1:5" x14ac:dyDescent="0.3">
      <c r="A11" s="5" t="s">
        <v>187</v>
      </c>
      <c r="B11">
        <v>1</v>
      </c>
      <c r="D11" t="str">
        <f t="shared" si="0"/>
        <v>Sunrisers Hyderabad</v>
      </c>
      <c r="E11">
        <f t="shared" si="1"/>
        <v>1</v>
      </c>
    </row>
    <row r="12" spans="1:5" x14ac:dyDescent="0.3">
      <c r="A12" s="5" t="s">
        <v>436</v>
      </c>
      <c r="B12">
        <v>18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CE94B-C918-4ED7-A96A-AC17DE176E37}">
  <dimension ref="A1:E19"/>
  <sheetViews>
    <sheetView topLeftCell="BO1" workbookViewId="0">
      <selection sqref="A1:E1"/>
    </sheetView>
  </sheetViews>
  <sheetFormatPr defaultRowHeight="14.4" x14ac:dyDescent="0.3"/>
  <cols>
    <col min="1" max="1" width="9.109375" bestFit="1" customWidth="1"/>
    <col min="2" max="2" width="11.5546875" bestFit="1" customWidth="1"/>
    <col min="3" max="3" width="14.44140625" bestFit="1" customWidth="1"/>
    <col min="4" max="4" width="28" bestFit="1" customWidth="1"/>
    <col min="5" max="5" width="28.77734375" bestFit="1" customWidth="1"/>
  </cols>
  <sheetData>
    <row r="1" spans="1:5" x14ac:dyDescent="0.3">
      <c r="A1" s="2" t="s">
        <v>400</v>
      </c>
      <c r="B1" s="2" t="s">
        <v>401</v>
      </c>
      <c r="C1" s="2" t="s">
        <v>402</v>
      </c>
      <c r="D1" s="2" t="s">
        <v>403</v>
      </c>
      <c r="E1" s="2" t="s">
        <v>404</v>
      </c>
    </row>
    <row r="2" spans="1:5" ht="28.8" x14ac:dyDescent="0.3">
      <c r="A2" s="3">
        <v>2008</v>
      </c>
      <c r="B2" s="3" t="s">
        <v>22</v>
      </c>
      <c r="C2" s="3" t="s">
        <v>17</v>
      </c>
      <c r="D2" s="3" t="s">
        <v>405</v>
      </c>
      <c r="E2" s="3" t="s">
        <v>406</v>
      </c>
    </row>
    <row r="3" spans="1:5" ht="43.2" x14ac:dyDescent="0.3">
      <c r="A3" s="3">
        <v>2009</v>
      </c>
      <c r="B3" s="3" t="s">
        <v>28</v>
      </c>
      <c r="C3" s="3" t="s">
        <v>10</v>
      </c>
      <c r="D3" s="3" t="s">
        <v>407</v>
      </c>
      <c r="E3" s="3" t="s">
        <v>408</v>
      </c>
    </row>
    <row r="4" spans="1:5" ht="43.2" x14ac:dyDescent="0.3">
      <c r="A4" s="3">
        <v>2010</v>
      </c>
      <c r="B4" s="3" t="s">
        <v>17</v>
      </c>
      <c r="C4" s="3" t="s">
        <v>25</v>
      </c>
      <c r="D4" s="3" t="s">
        <v>409</v>
      </c>
      <c r="E4" s="3" t="s">
        <v>410</v>
      </c>
    </row>
    <row r="5" spans="1:5" ht="43.2" x14ac:dyDescent="0.3">
      <c r="A5" s="3">
        <v>2011</v>
      </c>
      <c r="B5" s="3" t="s">
        <v>17</v>
      </c>
      <c r="C5" s="3" t="s">
        <v>10</v>
      </c>
      <c r="D5" s="3" t="s">
        <v>411</v>
      </c>
      <c r="E5" s="3" t="s">
        <v>412</v>
      </c>
    </row>
    <row r="6" spans="1:5" ht="43.2" x14ac:dyDescent="0.3">
      <c r="A6" s="3">
        <v>2012</v>
      </c>
      <c r="B6" s="3" t="s">
        <v>11</v>
      </c>
      <c r="C6" s="3" t="s">
        <v>17</v>
      </c>
      <c r="D6" s="3" t="s">
        <v>413</v>
      </c>
      <c r="E6" s="3" t="s">
        <v>414</v>
      </c>
    </row>
    <row r="7" spans="1:5" ht="28.8" x14ac:dyDescent="0.3">
      <c r="A7" s="3">
        <v>2013</v>
      </c>
      <c r="B7" s="3" t="s">
        <v>25</v>
      </c>
      <c r="C7" s="3" t="s">
        <v>17</v>
      </c>
      <c r="D7" s="3" t="s">
        <v>415</v>
      </c>
      <c r="E7" s="3" t="s">
        <v>406</v>
      </c>
    </row>
    <row r="8" spans="1:5" ht="43.2" x14ac:dyDescent="0.3">
      <c r="A8" s="3">
        <v>2014</v>
      </c>
      <c r="B8" s="3" t="s">
        <v>11</v>
      </c>
      <c r="C8" s="3" t="s">
        <v>16</v>
      </c>
      <c r="D8" s="3" t="s">
        <v>416</v>
      </c>
      <c r="E8" s="3" t="s">
        <v>417</v>
      </c>
    </row>
    <row r="9" spans="1:5" ht="28.8" x14ac:dyDescent="0.3">
      <c r="A9" s="3">
        <v>2015</v>
      </c>
      <c r="B9" s="3" t="s">
        <v>25</v>
      </c>
      <c r="C9" s="3" t="s">
        <v>17</v>
      </c>
      <c r="D9" s="3" t="s">
        <v>418</v>
      </c>
      <c r="E9" s="3" t="s">
        <v>419</v>
      </c>
    </row>
    <row r="10" spans="1:5" ht="43.2" x14ac:dyDescent="0.3">
      <c r="A10" s="3">
        <v>2016</v>
      </c>
      <c r="B10" s="3" t="s">
        <v>187</v>
      </c>
      <c r="C10" s="3" t="s">
        <v>10</v>
      </c>
      <c r="D10" s="3" t="s">
        <v>420</v>
      </c>
      <c r="E10" s="3" t="s">
        <v>421</v>
      </c>
    </row>
    <row r="11" spans="1:5" ht="28.8" x14ac:dyDescent="0.3">
      <c r="A11" s="3">
        <v>2017</v>
      </c>
      <c r="B11" s="3" t="s">
        <v>25</v>
      </c>
      <c r="C11" s="3" t="s">
        <v>249</v>
      </c>
      <c r="D11" s="3" t="s">
        <v>422</v>
      </c>
      <c r="E11" s="3" t="s">
        <v>423</v>
      </c>
    </row>
    <row r="12" spans="1:5" ht="28.8" x14ac:dyDescent="0.3">
      <c r="A12" s="3">
        <v>2018</v>
      </c>
      <c r="B12" s="3" t="s">
        <v>17</v>
      </c>
      <c r="C12" s="3" t="s">
        <v>187</v>
      </c>
      <c r="D12" s="3" t="s">
        <v>406</v>
      </c>
      <c r="E12" s="3" t="s">
        <v>414</v>
      </c>
    </row>
    <row r="13" spans="1:5" ht="28.8" x14ac:dyDescent="0.3">
      <c r="A13" s="3">
        <v>2019</v>
      </c>
      <c r="B13" s="3" t="s">
        <v>25</v>
      </c>
      <c r="C13" s="3" t="s">
        <v>17</v>
      </c>
      <c r="D13" s="3" t="s">
        <v>424</v>
      </c>
      <c r="E13" s="3" t="s">
        <v>419</v>
      </c>
    </row>
    <row r="14" spans="1:5" ht="28.8" x14ac:dyDescent="0.3">
      <c r="A14" s="3">
        <v>2020</v>
      </c>
      <c r="B14" s="3" t="s">
        <v>25</v>
      </c>
      <c r="C14" s="3" t="s">
        <v>281</v>
      </c>
      <c r="D14" s="3" t="s">
        <v>425</v>
      </c>
      <c r="E14" s="3" t="s">
        <v>426</v>
      </c>
    </row>
    <row r="15" spans="1:5" ht="28.8" x14ac:dyDescent="0.3">
      <c r="A15" s="3">
        <v>2021</v>
      </c>
      <c r="B15" s="3" t="s">
        <v>17</v>
      </c>
      <c r="C15" s="3" t="s">
        <v>11</v>
      </c>
      <c r="D15" s="3" t="s">
        <v>427</v>
      </c>
      <c r="E15" s="3" t="s">
        <v>428</v>
      </c>
    </row>
    <row r="16" spans="1:5" ht="28.8" x14ac:dyDescent="0.3">
      <c r="A16" s="3">
        <v>2022</v>
      </c>
      <c r="B16" s="3" t="s">
        <v>320</v>
      </c>
      <c r="C16" s="3" t="s">
        <v>22</v>
      </c>
      <c r="D16" s="3" t="s">
        <v>429</v>
      </c>
      <c r="E16" s="3" t="s">
        <v>430</v>
      </c>
    </row>
    <row r="17" spans="1:5" ht="28.8" x14ac:dyDescent="0.3">
      <c r="A17" s="3">
        <v>2023</v>
      </c>
      <c r="B17" s="3" t="s">
        <v>17</v>
      </c>
      <c r="C17" s="3" t="s">
        <v>320</v>
      </c>
      <c r="D17" s="3" t="s">
        <v>431</v>
      </c>
      <c r="E17" s="3" t="s">
        <v>292</v>
      </c>
    </row>
    <row r="18" spans="1:5" ht="28.8" x14ac:dyDescent="0.3">
      <c r="A18" s="3">
        <v>2024</v>
      </c>
      <c r="B18" s="3" t="s">
        <v>11</v>
      </c>
      <c r="C18" s="3" t="s">
        <v>187</v>
      </c>
      <c r="D18" s="3" t="s">
        <v>432</v>
      </c>
      <c r="E18" s="3" t="s">
        <v>414</v>
      </c>
    </row>
    <row r="19" spans="1:5" ht="43.2" x14ac:dyDescent="0.3">
      <c r="A19" s="3">
        <v>2025</v>
      </c>
      <c r="B19" s="3" t="s">
        <v>367</v>
      </c>
      <c r="C19" s="3" t="s">
        <v>304</v>
      </c>
      <c r="D19" s="3" t="s">
        <v>422</v>
      </c>
      <c r="E19" s="3" t="s">
        <v>433</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WON BASEDON TOSS</vt:lpstr>
      <vt:lpstr>toss decision</vt:lpstr>
      <vt:lpstr>TOP 10 VENUES</vt:lpstr>
      <vt:lpstr>MOM</vt:lpstr>
      <vt:lpstr>KPI</vt:lpstr>
      <vt:lpstr>DASHBOARD</vt:lpstr>
      <vt:lpstr>ipl dataset project</vt:lpstr>
      <vt:lpstr>titlewinner</vt:lpstr>
      <vt:lpstr>winners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Rohith reddy</dc:creator>
  <cp:lastModifiedBy>Rohith reddy</cp:lastModifiedBy>
  <dcterms:created xsi:type="dcterms:W3CDTF">2026-06-12T11:53:21Z</dcterms:created>
  <dcterms:modified xsi:type="dcterms:W3CDTF">2026-08-21T09:16:50Z</dcterms:modified>
</cp:coreProperties>
</file>